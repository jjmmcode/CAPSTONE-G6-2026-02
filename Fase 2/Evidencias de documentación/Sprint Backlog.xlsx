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tilla" sheetId="1" state="visible" r:id="rId3"/>
    <sheet name="Notas" sheetId="2" state="visible" r:id="rId4"/>
  </sheets>
  <definedNames>
    <definedName function="false" hidden="false" localSheetId="0" name="_xlnm.Print_Titles" vbProcedure="false">Plantilla!$1:$1</definedName>
    <definedName function="false" hidden="true" localSheetId="0" name="_xlnm._FilterDatabase" vbProcedure="false">Plantilla!$A$1:$G$48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<sst xmlns="http://schemas.openxmlformats.org/spreadsheetml/2006/main" count="347" uniqueCount="168">
  <si>
    <t xml:space="preserve">Sprint</t>
  </si>
  <si>
    <t xml:space="preserve">ID historia</t>
  </si>
  <si>
    <t xml:space="preserve">Actividad</t>
  </si>
  <si>
    <t xml:space="preserve">Responsable</t>
  </si>
  <si>
    <t xml:space="preserve">Estimación</t>
  </si>
  <si>
    <t xml:space="preserve">Estado</t>
  </si>
  <si>
    <t xml:space="preserve">Observaciones</t>
  </si>
  <si>
    <t xml:space="preserve">Sprint 1 (21 ago - 3 sep)</t>
  </si>
  <si>
    <t xml:space="preserve">HU-08</t>
  </si>
  <si>
    <t xml:space="preserve">Crear Resources ItemData, MaterialData, EquipmentData y BlueprintData</t>
  </si>
  <si>
    <t xml:space="preserve">Felipe Millán</t>
  </si>
  <si>
    <t xml:space="preserve">M</t>
  </si>
  <si>
    <t xml:space="preserve">Hecho</t>
  </si>
  <si>
    <t xml:space="preserve">Commit 1bdc6ab (21-08)</t>
  </si>
  <si>
    <t xml:space="preserve">HU-09</t>
  </si>
  <si>
    <t xml:space="preserve">Crear Inventory e InventorySlot</t>
  </si>
  <si>
    <t xml:space="preserve">HU-10</t>
  </si>
  <si>
    <t xml:space="preserve">Configurar PlayerStats como autoload</t>
  </si>
  <si>
    <t xml:space="preserve">Commit 5b6e270 (21-08)</t>
  </si>
  <si>
    <t xml:space="preserve">HU-03</t>
  </si>
  <si>
    <t xml:space="preserve">Implementar RarityCalculator y ForgeController</t>
  </si>
  <si>
    <t xml:space="preserve">Commit 14f3370 (21-08)</t>
  </si>
  <si>
    <t xml:space="preserve">HU-01 / HU-02</t>
  </si>
  <si>
    <t xml:space="preserve">Implementar minijuegos de Temperatura e Impacto (lógica y UI)</t>
  </si>
  <si>
    <t xml:space="preserve">L</t>
  </si>
  <si>
    <t xml:space="preserve">Commits 5e4ff63, 3de64a1, d97e113 (21 al 28-08)</t>
  </si>
  <si>
    <t xml:space="preserve">HU-04</t>
  </si>
  <si>
    <t xml:space="preserve">Dejar el ciclo de forja completo en ForgeTest</t>
  </si>
  <si>
    <t xml:space="preserve">Commit 42d5f98 (26-08)</t>
  </si>
  <si>
    <t xml:space="preserve">HU-33</t>
  </si>
  <si>
    <t xml:space="preserve">Crear menú de pausa funcional</t>
  </si>
  <si>
    <t xml:space="preserve">Joel Medina</t>
  </si>
  <si>
    <t xml:space="preserve">S</t>
  </si>
  <si>
    <t xml:space="preserve">Commit 82c01c4 (01-09)</t>
  </si>
  <si>
    <t xml:space="preserve">HU-13</t>
  </si>
  <si>
    <t xml:space="preserve">Separar la herrería en TiendaScene y TallerScene con zonas de interacción</t>
  </si>
  <si>
    <t xml:space="preserve">Commits af267f2, 3ddce54, 2d6957d (03-09)</t>
  </si>
  <si>
    <t xml:space="preserve">HU-19</t>
  </si>
  <si>
    <t xml:space="preserve">Crear sistema de diálogos multi-personaje</t>
  </si>
  <si>
    <t xml:space="preserve">Commits c35ae48, 740f1a9, a87db87 (03-09)</t>
  </si>
  <si>
    <t xml:space="preserve">Sprint 2 (4 sep - 17 sep)</t>
  </si>
  <si>
    <t xml:space="preserve">HU-20</t>
  </si>
  <si>
    <t xml:space="preserve">Conectar diálogos del arco de Edric (Reencuentro, Confrontación, Primera Lección)</t>
  </si>
  <si>
    <t xml:space="preserve">Commits 3f720f0, b8aea21, 8ffb5e2, 5f2c519, 9cc053a (03 y 04-09)</t>
  </si>
  <si>
    <t xml:space="preserve">HU-11</t>
  </si>
  <si>
    <t xml:space="preserve">Volver persistente BlacksmithProgression y bloquear ascenso</t>
  </si>
  <si>
    <t xml:space="preserve">Commits d2db896, 4b39733 (04-09)</t>
  </si>
  <si>
    <t xml:space="preserve">HU-15</t>
  </si>
  <si>
    <t xml:space="preserve">Crear MinaScene con minerales recolectables y respawn</t>
  </si>
  <si>
    <t xml:space="preserve">Commits 4772e0b, 80df6af (04-09)</t>
  </si>
  <si>
    <t xml:space="preserve">HU-12</t>
  </si>
  <si>
    <t xml:space="preserve">Implementar monedas y venta en la tienda de Seren</t>
  </si>
  <si>
    <t xml:space="preserve">Commits 51f208b, 7440be3 (04-09)</t>
  </si>
  <si>
    <t xml:space="preserve">HU-05</t>
  </si>
  <si>
    <t xml:space="preserve">Bloquear la forja sin martillo equipado</t>
  </si>
  <si>
    <t xml:space="preserve">Commit fd70b70 (04-09)</t>
  </si>
  <si>
    <t xml:space="preserve">HU-01</t>
  </si>
  <si>
    <t xml:space="preserve">Corregir foco de teclado y ritmo del minijuego de Temperatura</t>
  </si>
  <si>
    <t xml:space="preserve">Commits c089e5c, 8035ee3 (04-09)</t>
  </si>
  <si>
    <t xml:space="preserve">HU-43</t>
  </si>
  <si>
    <t xml:space="preserve">Reemplazar placeholders con arte real y realinear horno y yunque</t>
  </si>
  <si>
    <t xml:space="preserve">Commit 60aba57 (08-09); PR #1 (11-09)</t>
  </si>
  <si>
    <t xml:space="preserve">Sprint 3 (18 sep - 1 oct)</t>
  </si>
  <si>
    <t xml:space="preserve">HU-37</t>
  </si>
  <si>
    <t xml:space="preserve">Crear pantalla de inventario (versión inicial)</t>
  </si>
  <si>
    <t xml:space="preserve">Commit ffcadf4 (18-09)</t>
  </si>
  <si>
    <t xml:space="preserve">HU-34</t>
  </si>
  <si>
    <t xml:space="preserve">Crear menú principal con pestañas y navegación en las 3 escenas</t>
  </si>
  <si>
    <t xml:space="preserve">Commits 53d2420, 3eb22ae, 5248a81 (20-09)</t>
  </si>
  <si>
    <t xml:space="preserve">HU-28</t>
  </si>
  <si>
    <t xml:space="preserve">Crear HUD de combate con barras de HP y MP</t>
  </si>
  <si>
    <t xml:space="preserve">Commit 5904f9a (21-09)</t>
  </si>
  <si>
    <t xml:space="preserve">HU-22</t>
  </si>
  <si>
    <t xml:space="preserve">Implementar sistema de turnos (CombatManager)</t>
  </si>
  <si>
    <t xml:space="preserve">Commit c4b8520 (22-09)</t>
  </si>
  <si>
    <t xml:space="preserve">HU-23</t>
  </si>
  <si>
    <t xml:space="preserve">Implementar aplicación de daño y muerte</t>
  </si>
  <si>
    <t xml:space="preserve">Commit 926f510 (22-09)</t>
  </si>
  <si>
    <t xml:space="preserve">HU-25</t>
  </si>
  <si>
    <t xml:space="preserve">Implementar IA del monstruo (atacar, defender, rematar, desesperado)</t>
  </si>
  <si>
    <t xml:space="preserve">Yerko Loncón</t>
  </si>
  <si>
    <t xml:space="preserve">Commit 9722edd (25-09)</t>
  </si>
  <si>
    <t xml:space="preserve">HU-24</t>
  </si>
  <si>
    <t xml:space="preserve">Implementar Atacar con ventana de timing</t>
  </si>
  <si>
    <t xml:space="preserve">Commits 5f97bde, b196cf9 (30-09)</t>
  </si>
  <si>
    <t xml:space="preserve">HU-35</t>
  </si>
  <si>
    <t xml:space="preserve">Crear pantalla de estadísticas del personaje</t>
  </si>
  <si>
    <t xml:space="preserve">Commit 6eb0d91 (30-09)</t>
  </si>
  <si>
    <t xml:space="preserve">Mover Opciones al menú de pausa y pausar el juego con el menú I</t>
  </si>
  <si>
    <t xml:space="preserve">Commit 8575bef (30-09)</t>
  </si>
  <si>
    <t xml:space="preserve">HU-06</t>
  </si>
  <si>
    <t xml:space="preserve">Agregar toggle de Modo Asistencia en Opciones</t>
  </si>
  <si>
    <t xml:space="preserve">Commit 8ee71a3 (30-09)</t>
  </si>
  <si>
    <t xml:space="preserve">HU-26</t>
  </si>
  <si>
    <t xml:space="preserve">Implementar Defender con timing y barra de color tipo skill-check</t>
  </si>
  <si>
    <t xml:space="preserve">Commit 61b5d49 (01-10)</t>
  </si>
  <si>
    <t xml:space="preserve">Sprint 4 (2 oct - 9 oct)</t>
  </si>
  <si>
    <t xml:space="preserve">HU-16</t>
  </si>
  <si>
    <t xml:space="preserve">Crear escenas de bosque, exterior, patio y bifurcación y conectar la navegación</t>
  </si>
  <si>
    <t xml:space="preserve">Commits d9eea86, 2d75acd (02-10); PR #2</t>
  </si>
  <si>
    <t xml:space="preserve">HU-27</t>
  </si>
  <si>
    <t xml:space="preserve">Crear CombatTestScene y Orco de referencia</t>
  </si>
  <si>
    <t xml:space="preserve">Commit cc5907b (02-10); PR #3</t>
  </si>
  <si>
    <t xml:space="preserve">HU-38</t>
  </si>
  <si>
    <t xml:space="preserve">Migrar menús y HUD a autoload GlobalUI</t>
  </si>
  <si>
    <t xml:space="preserve">Commit 3bfc44b (02-10); PR #4</t>
  </si>
  <si>
    <t xml:space="preserve">HU-29</t>
  </si>
  <si>
    <t xml:space="preserve">Implementar combate de mundo contra el Lobo Alfa con recompensas y penalización</t>
  </si>
  <si>
    <t xml:space="preserve">Commit 2951c35 (09-10); PR #5</t>
  </si>
  <si>
    <t xml:space="preserve">HU-36</t>
  </si>
  <si>
    <t xml:space="preserve">Agregar botones para gastar puntos de habilidad</t>
  </si>
  <si>
    <t xml:space="preserve">Commit 5cd6919 (09-10); PR #6</t>
  </si>
  <si>
    <t xml:space="preserve">HU-39</t>
  </si>
  <si>
    <t xml:space="preserve">Guardar opciones en user://settings.cfg</t>
  </si>
  <si>
    <t xml:space="preserve">Commit b9064ec (09-10); PR #7</t>
  </si>
  <si>
    <t xml:space="preserve">HU-31</t>
  </si>
  <si>
    <t xml:space="preserve">Recuperar HP/MP al reaparecer tras perder y corregir botón Continuar</t>
  </si>
  <si>
    <t xml:space="preserve">Commits 414eb4a, 219db7e, eab0577 (09-10); PR #8. Ajustado tras acordar con el equipo que la curación normal es con pociones</t>
  </si>
  <si>
    <t xml:space="preserve">Sprint 5 (10 oct - 16 oct)</t>
  </si>
  <si>
    <t xml:space="preserve">Ajustar stats del GDD (HP y MP suben por nivel, estamina)</t>
  </si>
  <si>
    <t xml:space="preserve">Commits 04c1d24, 8111aad (10-10)</t>
  </si>
  <si>
    <t xml:space="preserve">HU-40</t>
  </si>
  <si>
    <t xml:space="preserve">Implementar guardado de partida (autoguardado, slots JSON, borrar partida)</t>
  </si>
  <si>
    <t xml:space="preserve">Commits 04c1d24, 36a1481, ac29c6d (10-10); PR #10</t>
  </si>
  <si>
    <t xml:space="preserve">HU-32</t>
  </si>
  <si>
    <t xml:space="preserve">Implementar pociones, venda, botín y tienda de compra</t>
  </si>
  <si>
    <t xml:space="preserve">Commits 36a1481, ac29c6d (10-10); PR #10</t>
  </si>
  <si>
    <t xml:space="preserve">HU-42</t>
  </si>
  <si>
    <t xml:space="preserve">Agregar tutoriales y menú de equipo</t>
  </si>
  <si>
    <t xml:space="preserve">Commit 04c1d24 (10-10)</t>
  </si>
  <si>
    <t xml:space="preserve">HU-44</t>
  </si>
  <si>
    <t xml:space="preserve">Agregar sonido y atajos de prueba para demo</t>
  </si>
  <si>
    <t xml:space="preserve">Commits 36a1481, 8111aad (10-10)</t>
  </si>
  <si>
    <t xml:space="preserve">HU-07</t>
  </si>
  <si>
    <t xml:space="preserve">Lecciones de Edric y Diario de conocimientos (KnowledgeManager)</t>
  </si>
  <si>
    <t xml:space="preserve">Commit 55aa06b (10-10); card 'Lecciones de Edric' (11-10)</t>
  </si>
  <si>
    <t xml:space="preserve">HU-14 / HU-18</t>
  </si>
  <si>
    <t xml:space="preserve">Animación de Aiden, límites por escena y enemigos que bloquean el paso</t>
  </si>
  <si>
    <t xml:space="preserve">Commit 8beafb8 (11-10)</t>
  </si>
  <si>
    <t xml:space="preserve">HU-15 / HU-21</t>
  </si>
  <si>
    <t xml:space="preserve">Mina con vetas y temporizador, intro de la historia y revelación de Seren</t>
  </si>
  <si>
    <t xml:space="preserve">Commit 6d9630a (14-10)</t>
  </si>
  <si>
    <t xml:space="preserve">Extender la defensa del jugador a 2 turnos del monstruo</t>
  </si>
  <si>
    <t xml:space="preserve">Commit f09d1a9 (16-10); PR #11</t>
  </si>
  <si>
    <t xml:space="preserve">HU-30 / HU-37 / HU-41</t>
  </si>
  <si>
    <t xml:space="preserve">Lobos animados, inventario con arrastrar y soltar, nueva pantalla de combate y examen de ascenso</t>
  </si>
  <si>
    <t xml:space="preserve">Commit 00b571f (16-10); PR #12 y #13</t>
  </si>
  <si>
    <t xml:space="preserve">Sprint 6 (17 oct - en curso)</t>
  </si>
  <si>
    <t xml:space="preserve">HU-17</t>
  </si>
  <si>
    <t xml:space="preserve">Terminar límites caminables y prueba de salidas alcanzables</t>
  </si>
  <si>
    <t xml:space="preserve">En progreso</t>
  </si>
  <si>
    <t xml:space="preserve">Card 'Límites caminables' en Por Hacer (Felipe)</t>
  </si>
  <si>
    <t xml:space="preserve">HU-45</t>
  </si>
  <si>
    <t xml:space="preserve">Integración final: flujo completo de una partida</t>
  </si>
  <si>
    <t xml:space="preserve">Equipo</t>
  </si>
  <si>
    <t xml:space="preserve">Card 'Integración Final' en Por Hacer (Felipe)</t>
  </si>
  <si>
    <t xml:space="preserve">HU-46</t>
  </si>
  <si>
    <t xml:space="preserve">Documentación Capstone: estructura del repositorio, backlogs, pruebas y modelo de datos</t>
  </si>
  <si>
    <t xml:space="preserve">Repositorio jjmmcode/CAPSTONE-G6-2026-02 (auditor del docente: 100% de estructura)</t>
  </si>
  <si>
    <t xml:space="preserve">Notas</t>
  </si>
  <si>
    <t xml:space="preserve">Fuentes: tablero Trello CAPSTONE-G6-2026-02 y repositorio GitHub FelipeMillanOrellana/Anvil_of_Ambition (rama main). Fecha de corte: 21-10-2026.</t>
  </si>
  <si>
    <t xml:space="preserve">Sprints de aproximadamente una o dos semanas, reconstruidos a partir de las fechas reales de los commits en main.</t>
  </si>
  <si>
    <t xml:space="preserve">ID historia: referencia al Product Backlog (Product Backlog.xlsx).</t>
  </si>
  <si>
    <t xml:space="preserve">Estimación: tamaño relativo de la actividad (S = pequeña, hasta 1 día; M = mediana, 2 a 3 días; L = grande, 4 días o más). Es una estimación de referencia que el equipo debe validar.</t>
  </si>
  <si>
    <t xml:space="preserve">Observaciones: evidencia verificable en GitHub (hash del commit, fecha y número de Pull Request).</t>
  </si>
  <si>
    <t xml:space="preserve">Resumen por estado</t>
  </si>
  <si>
    <t xml:space="preserve">Pendiente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</si>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</sst>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23448"/>
        <bgColor rgb="FF003366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5">
    <dxf>
      <fill>
        <patternFill patternType="solid">
          <fgColor rgb="FF22344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34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58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3.85" hidden="false" customHeight="false" outlineLevel="0" collapsed="false">
      <c r="A2" s="2" t="s">
        <v>7</v>
      </c>
      <c r="B2" s="3" t="s">
        <v>8</v>
      </c>
      <c r="C2" s="2" t="s">
        <v>9</v>
      </c>
      <c r="D2" s="2" t="s">
        <v>10</v>
      </c>
      <c r="E2" s="3" t="s">
        <v>11</v>
      </c>
      <c r="F2" s="4" t="s">
        <v>12</v>
      </c>
      <c r="G2" s="2" t="s">
        <v>13</v>
      </c>
    </row>
    <row r="3" customFormat="false" ht="15" hidden="false" customHeight="false" outlineLevel="0" collapsed="false">
      <c r="A3" s="2" t="s">
        <v>7</v>
      </c>
      <c r="B3" s="3" t="s">
        <v>14</v>
      </c>
      <c r="C3" s="2" t="s">
        <v>15</v>
      </c>
      <c r="D3" s="2" t="s">
        <v>10</v>
      </c>
      <c r="E3" s="3" t="s">
        <v>11</v>
      </c>
      <c r="F3" s="4" t="s">
        <v>12</v>
      </c>
      <c r="G3" s="2" t="s">
        <v>13</v>
      </c>
    </row>
    <row r="4" customFormat="false" ht="15" hidden="false" customHeight="false" outlineLevel="0" collapsed="false">
      <c r="A4" s="2" t="s">
        <v>7</v>
      </c>
      <c r="B4" s="3" t="s">
        <v>16</v>
      </c>
      <c r="C4" s="2" t="s">
        <v>17</v>
      </c>
      <c r="D4" s="2" t="s">
        <v>10</v>
      </c>
      <c r="E4" s="3" t="s">
        <v>11</v>
      </c>
      <c r="F4" s="4" t="s">
        <v>12</v>
      </c>
      <c r="G4" s="2" t="s">
        <v>18</v>
      </c>
    </row>
    <row r="5" customFormat="false" ht="15" hidden="false" customHeight="false" outlineLevel="0" collapsed="false">
      <c r="A5" s="2" t="s">
        <v>7</v>
      </c>
      <c r="B5" s="3" t="s">
        <v>19</v>
      </c>
      <c r="C5" s="2" t="s">
        <v>20</v>
      </c>
      <c r="D5" s="2" t="s">
        <v>10</v>
      </c>
      <c r="E5" s="3" t="s">
        <v>11</v>
      </c>
      <c r="F5" s="4" t="s">
        <v>12</v>
      </c>
      <c r="G5" s="2" t="s">
        <v>21</v>
      </c>
    </row>
    <row r="6" customFormat="false" ht="15" hidden="false" customHeight="false" outlineLevel="0" collapsed="false">
      <c r="A6" s="2" t="s">
        <v>7</v>
      </c>
      <c r="B6" s="3" t="s">
        <v>22</v>
      </c>
      <c r="C6" s="2" t="s">
        <v>23</v>
      </c>
      <c r="D6" s="2" t="s">
        <v>10</v>
      </c>
      <c r="E6" s="3" t="s">
        <v>24</v>
      </c>
      <c r="F6" s="4" t="s">
        <v>12</v>
      </c>
      <c r="G6" s="2" t="s">
        <v>25</v>
      </c>
    </row>
    <row r="7" customFormat="false" ht="15" hidden="false" customHeight="false" outlineLevel="0" collapsed="false">
      <c r="A7" s="2" t="s">
        <v>7</v>
      </c>
      <c r="B7" s="3" t="s">
        <v>26</v>
      </c>
      <c r="C7" s="2" t="s">
        <v>27</v>
      </c>
      <c r="D7" s="2" t="s">
        <v>10</v>
      </c>
      <c r="E7" s="3" t="s">
        <v>11</v>
      </c>
      <c r="F7" s="4" t="s">
        <v>12</v>
      </c>
      <c r="G7" s="2" t="s">
        <v>28</v>
      </c>
    </row>
    <row r="8" customFormat="false" ht="15" hidden="false" customHeight="false" outlineLevel="0" collapsed="false">
      <c r="A8" s="2" t="s">
        <v>7</v>
      </c>
      <c r="B8" s="3" t="s">
        <v>29</v>
      </c>
      <c r="C8" s="2" t="s">
        <v>30</v>
      </c>
      <c r="D8" s="2" t="s">
        <v>31</v>
      </c>
      <c r="E8" s="3" t="s">
        <v>32</v>
      </c>
      <c r="F8" s="4" t="s">
        <v>12</v>
      </c>
      <c r="G8" s="2" t="s">
        <v>33</v>
      </c>
    </row>
    <row r="9" customFormat="false" ht="23.85" hidden="false" customHeight="false" outlineLevel="0" collapsed="false">
      <c r="A9" s="2" t="s">
        <v>7</v>
      </c>
      <c r="B9" s="3" t="s">
        <v>34</v>
      </c>
      <c r="C9" s="2" t="s">
        <v>35</v>
      </c>
      <c r="D9" s="2" t="s">
        <v>10</v>
      </c>
      <c r="E9" s="3" t="s">
        <v>11</v>
      </c>
      <c r="F9" s="4" t="s">
        <v>12</v>
      </c>
      <c r="G9" s="2" t="s">
        <v>36</v>
      </c>
    </row>
    <row r="10" customFormat="false" ht="15" hidden="false" customHeight="false" outlineLevel="0" collapsed="false">
      <c r="A10" s="2" t="s">
        <v>7</v>
      </c>
      <c r="B10" s="3" t="s">
        <v>37</v>
      </c>
      <c r="C10" s="2" t="s">
        <v>38</v>
      </c>
      <c r="D10" s="2" t="s">
        <v>10</v>
      </c>
      <c r="E10" s="3" t="s">
        <v>11</v>
      </c>
      <c r="F10" s="4" t="s">
        <v>12</v>
      </c>
      <c r="G10" s="2" t="s">
        <v>39</v>
      </c>
    </row>
    <row r="11" customFormat="false" ht="23.85" hidden="false" customHeight="false" outlineLevel="0" collapsed="false">
      <c r="A11" s="2" t="s">
        <v>40</v>
      </c>
      <c r="B11" s="3" t="s">
        <v>41</v>
      </c>
      <c r="C11" s="2" t="s">
        <v>42</v>
      </c>
      <c r="D11" s="2" t="s">
        <v>10</v>
      </c>
      <c r="E11" s="3" t="s">
        <v>24</v>
      </c>
      <c r="F11" s="4" t="s">
        <v>12</v>
      </c>
      <c r="G11" s="2" t="s">
        <v>43</v>
      </c>
    </row>
    <row r="12" customFormat="false" ht="15" hidden="false" customHeight="false" outlineLevel="0" collapsed="false">
      <c r="A12" s="2" t="s">
        <v>40</v>
      </c>
      <c r="B12" s="3" t="s">
        <v>44</v>
      </c>
      <c r="C12" s="2" t="s">
        <v>45</v>
      </c>
      <c r="D12" s="2" t="s">
        <v>10</v>
      </c>
      <c r="E12" s="3" t="s">
        <v>11</v>
      </c>
      <c r="F12" s="4" t="s">
        <v>12</v>
      </c>
      <c r="G12" s="2" t="s">
        <v>46</v>
      </c>
    </row>
    <row r="13" customFormat="false" ht="15" hidden="false" customHeight="false" outlineLevel="0" collapsed="false">
      <c r="A13" s="2" t="s">
        <v>40</v>
      </c>
      <c r="B13" s="3" t="s">
        <v>47</v>
      </c>
      <c r="C13" s="2" t="s">
        <v>48</v>
      </c>
      <c r="D13" s="2" t="s">
        <v>10</v>
      </c>
      <c r="E13" s="3" t="s">
        <v>11</v>
      </c>
      <c r="F13" s="4" t="s">
        <v>12</v>
      </c>
      <c r="G13" s="2" t="s">
        <v>49</v>
      </c>
    </row>
    <row r="14" customFormat="false" ht="15" hidden="false" customHeight="false" outlineLevel="0" collapsed="false">
      <c r="A14" s="2" t="s">
        <v>40</v>
      </c>
      <c r="B14" s="3" t="s">
        <v>50</v>
      </c>
      <c r="C14" s="2" t="s">
        <v>51</v>
      </c>
      <c r="D14" s="2" t="s">
        <v>10</v>
      </c>
      <c r="E14" s="3" t="s">
        <v>11</v>
      </c>
      <c r="F14" s="4" t="s">
        <v>12</v>
      </c>
      <c r="G14" s="2" t="s">
        <v>52</v>
      </c>
    </row>
    <row r="15" customFormat="false" ht="15" hidden="false" customHeight="false" outlineLevel="0" collapsed="false">
      <c r="A15" s="2" t="s">
        <v>40</v>
      </c>
      <c r="B15" s="3" t="s">
        <v>53</v>
      </c>
      <c r="C15" s="2" t="s">
        <v>54</v>
      </c>
      <c r="D15" s="2" t="s">
        <v>10</v>
      </c>
      <c r="E15" s="3" t="s">
        <v>32</v>
      </c>
      <c r="F15" s="4" t="s">
        <v>12</v>
      </c>
      <c r="G15" s="2" t="s">
        <v>55</v>
      </c>
    </row>
    <row r="16" customFormat="false" ht="15" hidden="false" customHeight="false" outlineLevel="0" collapsed="false">
      <c r="A16" s="2" t="s">
        <v>40</v>
      </c>
      <c r="B16" s="3" t="s">
        <v>56</v>
      </c>
      <c r="C16" s="2" t="s">
        <v>57</v>
      </c>
      <c r="D16" s="2" t="s">
        <v>10</v>
      </c>
      <c r="E16" s="3" t="s">
        <v>32</v>
      </c>
      <c r="F16" s="4" t="s">
        <v>12</v>
      </c>
      <c r="G16" s="2" t="s">
        <v>58</v>
      </c>
    </row>
    <row r="17" customFormat="false" ht="15" hidden="false" customHeight="false" outlineLevel="0" collapsed="false">
      <c r="A17" s="2" t="s">
        <v>40</v>
      </c>
      <c r="B17" s="3" t="s">
        <v>59</v>
      </c>
      <c r="C17" s="2" t="s">
        <v>60</v>
      </c>
      <c r="D17" s="2" t="s">
        <v>10</v>
      </c>
      <c r="E17" s="3" t="s">
        <v>32</v>
      </c>
      <c r="F17" s="4" t="s">
        <v>12</v>
      </c>
      <c r="G17" s="2" t="s">
        <v>61</v>
      </c>
    </row>
    <row r="18" customFormat="false" ht="15" hidden="false" customHeight="false" outlineLevel="0" collapsed="false">
      <c r="A18" s="2" t="s">
        <v>62</v>
      </c>
      <c r="B18" s="3" t="s">
        <v>63</v>
      </c>
      <c r="C18" s="2" t="s">
        <v>64</v>
      </c>
      <c r="D18" s="2" t="s">
        <v>31</v>
      </c>
      <c r="E18" s="3" t="s">
        <v>11</v>
      </c>
      <c r="F18" s="4" t="s">
        <v>12</v>
      </c>
      <c r="G18" s="2" t="s">
        <v>65</v>
      </c>
    </row>
    <row r="19" customFormat="false" ht="15" hidden="false" customHeight="false" outlineLevel="0" collapsed="false">
      <c r="A19" s="2" t="s">
        <v>62</v>
      </c>
      <c r="B19" s="3" t="s">
        <v>66</v>
      </c>
      <c r="C19" s="2" t="s">
        <v>67</v>
      </c>
      <c r="D19" s="2" t="s">
        <v>31</v>
      </c>
      <c r="E19" s="3" t="s">
        <v>11</v>
      </c>
      <c r="F19" s="4" t="s">
        <v>12</v>
      </c>
      <c r="G19" s="2" t="s">
        <v>68</v>
      </c>
    </row>
    <row r="20" customFormat="false" ht="15" hidden="false" customHeight="false" outlineLevel="0" collapsed="false">
      <c r="A20" s="2" t="s">
        <v>62</v>
      </c>
      <c r="B20" s="3" t="s">
        <v>69</v>
      </c>
      <c r="C20" s="2" t="s">
        <v>70</v>
      </c>
      <c r="D20" s="2" t="s">
        <v>31</v>
      </c>
      <c r="E20" s="3" t="s">
        <v>32</v>
      </c>
      <c r="F20" s="4" t="s">
        <v>12</v>
      </c>
      <c r="G20" s="2" t="s">
        <v>71</v>
      </c>
    </row>
    <row r="21" customFormat="false" ht="15" hidden="false" customHeight="false" outlineLevel="0" collapsed="false">
      <c r="A21" s="2" t="s">
        <v>62</v>
      </c>
      <c r="B21" s="3" t="s">
        <v>72</v>
      </c>
      <c r="C21" s="2" t="s">
        <v>73</v>
      </c>
      <c r="D21" s="2" t="s">
        <v>31</v>
      </c>
      <c r="E21" s="3" t="s">
        <v>11</v>
      </c>
      <c r="F21" s="4" t="s">
        <v>12</v>
      </c>
      <c r="G21" s="2" t="s">
        <v>74</v>
      </c>
    </row>
    <row r="22" customFormat="false" ht="15" hidden="false" customHeight="false" outlineLevel="0" collapsed="false">
      <c r="A22" s="2" t="s">
        <v>62</v>
      </c>
      <c r="B22" s="3" t="s">
        <v>75</v>
      </c>
      <c r="C22" s="2" t="s">
        <v>76</v>
      </c>
      <c r="D22" s="2" t="s">
        <v>31</v>
      </c>
      <c r="E22" s="3" t="s">
        <v>11</v>
      </c>
      <c r="F22" s="4" t="s">
        <v>12</v>
      </c>
      <c r="G22" s="2" t="s">
        <v>77</v>
      </c>
    </row>
    <row r="23" customFormat="false" ht="15" hidden="false" customHeight="false" outlineLevel="0" collapsed="false">
      <c r="A23" s="2" t="s">
        <v>62</v>
      </c>
      <c r="B23" s="3" t="s">
        <v>78</v>
      </c>
      <c r="C23" s="2" t="s">
        <v>79</v>
      </c>
      <c r="D23" s="2" t="s">
        <v>80</v>
      </c>
      <c r="E23" s="3" t="s">
        <v>11</v>
      </c>
      <c r="F23" s="4" t="s">
        <v>12</v>
      </c>
      <c r="G23" s="2" t="s">
        <v>81</v>
      </c>
    </row>
    <row r="24" customFormat="false" ht="15" hidden="false" customHeight="false" outlineLevel="0" collapsed="false">
      <c r="A24" s="2" t="s">
        <v>62</v>
      </c>
      <c r="B24" s="3" t="s">
        <v>82</v>
      </c>
      <c r="C24" s="2" t="s">
        <v>83</v>
      </c>
      <c r="D24" s="2" t="s">
        <v>31</v>
      </c>
      <c r="E24" s="3" t="s">
        <v>11</v>
      </c>
      <c r="F24" s="4" t="s">
        <v>12</v>
      </c>
      <c r="G24" s="2" t="s">
        <v>84</v>
      </c>
    </row>
    <row r="25" customFormat="false" ht="15" hidden="false" customHeight="false" outlineLevel="0" collapsed="false">
      <c r="A25" s="2" t="s">
        <v>62</v>
      </c>
      <c r="B25" s="3" t="s">
        <v>85</v>
      </c>
      <c r="C25" s="2" t="s">
        <v>86</v>
      </c>
      <c r="D25" s="2" t="s">
        <v>31</v>
      </c>
      <c r="E25" s="3" t="s">
        <v>32</v>
      </c>
      <c r="F25" s="4" t="s">
        <v>12</v>
      </c>
      <c r="G25" s="2" t="s">
        <v>87</v>
      </c>
    </row>
    <row r="26" customFormat="false" ht="15" hidden="false" customHeight="false" outlineLevel="0" collapsed="false">
      <c r="A26" s="2" t="s">
        <v>62</v>
      </c>
      <c r="B26" s="3" t="s">
        <v>29</v>
      </c>
      <c r="C26" s="2" t="s">
        <v>88</v>
      </c>
      <c r="D26" s="2" t="s">
        <v>31</v>
      </c>
      <c r="E26" s="3" t="s">
        <v>32</v>
      </c>
      <c r="F26" s="4" t="s">
        <v>12</v>
      </c>
      <c r="G26" s="2" t="s">
        <v>89</v>
      </c>
    </row>
    <row r="27" customFormat="false" ht="15" hidden="false" customHeight="false" outlineLevel="0" collapsed="false">
      <c r="A27" s="2" t="s">
        <v>62</v>
      </c>
      <c r="B27" s="3" t="s">
        <v>90</v>
      </c>
      <c r="C27" s="2" t="s">
        <v>91</v>
      </c>
      <c r="D27" s="2" t="s">
        <v>31</v>
      </c>
      <c r="E27" s="3" t="s">
        <v>32</v>
      </c>
      <c r="F27" s="4" t="s">
        <v>12</v>
      </c>
      <c r="G27" s="2" t="s">
        <v>92</v>
      </c>
    </row>
    <row r="28" customFormat="false" ht="15" hidden="false" customHeight="false" outlineLevel="0" collapsed="false">
      <c r="A28" s="2" t="s">
        <v>62</v>
      </c>
      <c r="B28" s="3" t="s">
        <v>93</v>
      </c>
      <c r="C28" s="2" t="s">
        <v>94</v>
      </c>
      <c r="D28" s="2" t="s">
        <v>80</v>
      </c>
      <c r="E28" s="3" t="s">
        <v>11</v>
      </c>
      <c r="F28" s="4" t="s">
        <v>12</v>
      </c>
      <c r="G28" s="2" t="s">
        <v>95</v>
      </c>
    </row>
    <row r="29" customFormat="false" ht="23.85" hidden="false" customHeight="false" outlineLevel="0" collapsed="false">
      <c r="A29" s="2" t="s">
        <v>96</v>
      </c>
      <c r="B29" s="3" t="s">
        <v>97</v>
      </c>
      <c r="C29" s="2" t="s">
        <v>98</v>
      </c>
      <c r="D29" s="2" t="s">
        <v>10</v>
      </c>
      <c r="E29" s="3" t="s">
        <v>24</v>
      </c>
      <c r="F29" s="4" t="s">
        <v>12</v>
      </c>
      <c r="G29" s="2" t="s">
        <v>99</v>
      </c>
    </row>
    <row r="30" customFormat="false" ht="15" hidden="false" customHeight="false" outlineLevel="0" collapsed="false">
      <c r="A30" s="2" t="s">
        <v>96</v>
      </c>
      <c r="B30" s="3" t="s">
        <v>100</v>
      </c>
      <c r="C30" s="2" t="s">
        <v>101</v>
      </c>
      <c r="D30" s="2" t="s">
        <v>80</v>
      </c>
      <c r="E30" s="3" t="s">
        <v>11</v>
      </c>
      <c r="F30" s="4" t="s">
        <v>12</v>
      </c>
      <c r="G30" s="2" t="s">
        <v>102</v>
      </c>
    </row>
    <row r="31" customFormat="false" ht="15" hidden="false" customHeight="false" outlineLevel="0" collapsed="false">
      <c r="A31" s="2" t="s">
        <v>96</v>
      </c>
      <c r="B31" s="3" t="s">
        <v>103</v>
      </c>
      <c r="C31" s="2" t="s">
        <v>104</v>
      </c>
      <c r="D31" s="2" t="s">
        <v>10</v>
      </c>
      <c r="E31" s="3" t="s">
        <v>11</v>
      </c>
      <c r="F31" s="4" t="s">
        <v>12</v>
      </c>
      <c r="G31" s="2" t="s">
        <v>105</v>
      </c>
    </row>
    <row r="32" customFormat="false" ht="23.85" hidden="false" customHeight="false" outlineLevel="0" collapsed="false">
      <c r="A32" s="2" t="s">
        <v>96</v>
      </c>
      <c r="B32" s="3" t="s">
        <v>106</v>
      </c>
      <c r="C32" s="2" t="s">
        <v>107</v>
      </c>
      <c r="D32" s="2" t="s">
        <v>10</v>
      </c>
      <c r="E32" s="3" t="s">
        <v>24</v>
      </c>
      <c r="F32" s="4" t="s">
        <v>12</v>
      </c>
      <c r="G32" s="2" t="s">
        <v>108</v>
      </c>
    </row>
    <row r="33" customFormat="false" ht="15" hidden="false" customHeight="false" outlineLevel="0" collapsed="false">
      <c r="A33" s="2" t="s">
        <v>96</v>
      </c>
      <c r="B33" s="3" t="s">
        <v>109</v>
      </c>
      <c r="C33" s="2" t="s">
        <v>110</v>
      </c>
      <c r="D33" s="2" t="s">
        <v>31</v>
      </c>
      <c r="E33" s="3" t="s">
        <v>32</v>
      </c>
      <c r="F33" s="4" t="s">
        <v>12</v>
      </c>
      <c r="G33" s="2" t="s">
        <v>111</v>
      </c>
    </row>
    <row r="34" customFormat="false" ht="15" hidden="false" customHeight="false" outlineLevel="0" collapsed="false">
      <c r="A34" s="2" t="s">
        <v>96</v>
      </c>
      <c r="B34" s="3" t="s">
        <v>112</v>
      </c>
      <c r="C34" s="2" t="s">
        <v>113</v>
      </c>
      <c r="D34" s="2" t="s">
        <v>31</v>
      </c>
      <c r="E34" s="3" t="s">
        <v>32</v>
      </c>
      <c r="F34" s="4" t="s">
        <v>12</v>
      </c>
      <c r="G34" s="2" t="s">
        <v>114</v>
      </c>
    </row>
    <row r="35" customFormat="false" ht="35.05" hidden="false" customHeight="false" outlineLevel="0" collapsed="false">
      <c r="A35" s="2" t="s">
        <v>96</v>
      </c>
      <c r="B35" s="3" t="s">
        <v>115</v>
      </c>
      <c r="C35" s="2" t="s">
        <v>116</v>
      </c>
      <c r="D35" s="2" t="s">
        <v>31</v>
      </c>
      <c r="E35" s="3" t="s">
        <v>32</v>
      </c>
      <c r="F35" s="4" t="s">
        <v>12</v>
      </c>
      <c r="G35" s="2" t="s">
        <v>117</v>
      </c>
    </row>
    <row r="36" customFormat="false" ht="15" hidden="false" customHeight="false" outlineLevel="0" collapsed="false">
      <c r="A36" s="2" t="s">
        <v>118</v>
      </c>
      <c r="B36" s="3" t="s">
        <v>16</v>
      </c>
      <c r="C36" s="2" t="s">
        <v>119</v>
      </c>
      <c r="D36" s="2" t="s">
        <v>10</v>
      </c>
      <c r="E36" s="3" t="s">
        <v>11</v>
      </c>
      <c r="F36" s="4" t="s">
        <v>12</v>
      </c>
      <c r="G36" s="2" t="s">
        <v>120</v>
      </c>
    </row>
    <row r="37" customFormat="false" ht="23.85" hidden="false" customHeight="false" outlineLevel="0" collapsed="false">
      <c r="A37" s="2" t="s">
        <v>118</v>
      </c>
      <c r="B37" s="3" t="s">
        <v>121</v>
      </c>
      <c r="C37" s="2" t="s">
        <v>122</v>
      </c>
      <c r="D37" s="2" t="s">
        <v>10</v>
      </c>
      <c r="E37" s="3" t="s">
        <v>24</v>
      </c>
      <c r="F37" s="4" t="s">
        <v>12</v>
      </c>
      <c r="G37" s="2" t="s">
        <v>123</v>
      </c>
    </row>
    <row r="38" customFormat="false" ht="15" hidden="false" customHeight="false" outlineLevel="0" collapsed="false">
      <c r="A38" s="2" t="s">
        <v>118</v>
      </c>
      <c r="B38" s="3" t="s">
        <v>124</v>
      </c>
      <c r="C38" s="2" t="s">
        <v>125</v>
      </c>
      <c r="D38" s="2" t="s">
        <v>10</v>
      </c>
      <c r="E38" s="3" t="s">
        <v>11</v>
      </c>
      <c r="F38" s="4" t="s">
        <v>12</v>
      </c>
      <c r="G38" s="2" t="s">
        <v>126</v>
      </c>
    </row>
    <row r="39" customFormat="false" ht="15" hidden="false" customHeight="false" outlineLevel="0" collapsed="false">
      <c r="A39" s="2" t="s">
        <v>118</v>
      </c>
      <c r="B39" s="3" t="s">
        <v>127</v>
      </c>
      <c r="C39" s="2" t="s">
        <v>128</v>
      </c>
      <c r="D39" s="2" t="s">
        <v>10</v>
      </c>
      <c r="E39" s="3" t="s">
        <v>11</v>
      </c>
      <c r="F39" s="4" t="s">
        <v>12</v>
      </c>
      <c r="G39" s="2" t="s">
        <v>129</v>
      </c>
    </row>
    <row r="40" customFormat="false" ht="15" hidden="false" customHeight="false" outlineLevel="0" collapsed="false">
      <c r="A40" s="2" t="s">
        <v>118</v>
      </c>
      <c r="B40" s="3" t="s">
        <v>130</v>
      </c>
      <c r="C40" s="2" t="s">
        <v>131</v>
      </c>
      <c r="D40" s="2" t="s">
        <v>10</v>
      </c>
      <c r="E40" s="3" t="s">
        <v>32</v>
      </c>
      <c r="F40" s="4" t="s">
        <v>12</v>
      </c>
      <c r="G40" s="2" t="s">
        <v>132</v>
      </c>
    </row>
    <row r="41" customFormat="false" ht="15" hidden="false" customHeight="false" outlineLevel="0" collapsed="false">
      <c r="A41" s="2" t="s">
        <v>118</v>
      </c>
      <c r="B41" s="3" t="s">
        <v>133</v>
      </c>
      <c r="C41" s="2" t="s">
        <v>134</v>
      </c>
      <c r="D41" s="2" t="s">
        <v>10</v>
      </c>
      <c r="E41" s="3" t="s">
        <v>11</v>
      </c>
      <c r="F41" s="4" t="s">
        <v>12</v>
      </c>
      <c r="G41" s="2" t="s">
        <v>135</v>
      </c>
    </row>
    <row r="42" customFormat="false" ht="23.85" hidden="false" customHeight="false" outlineLevel="0" collapsed="false">
      <c r="A42" s="2" t="s">
        <v>118</v>
      </c>
      <c r="B42" s="3" t="s">
        <v>136</v>
      </c>
      <c r="C42" s="2" t="s">
        <v>137</v>
      </c>
      <c r="D42" s="2" t="s">
        <v>10</v>
      </c>
      <c r="E42" s="3" t="s">
        <v>11</v>
      </c>
      <c r="F42" s="4" t="s">
        <v>12</v>
      </c>
      <c r="G42" s="2" t="s">
        <v>138</v>
      </c>
    </row>
    <row r="43" customFormat="false" ht="23.85" hidden="false" customHeight="false" outlineLevel="0" collapsed="false">
      <c r="A43" s="2" t="s">
        <v>118</v>
      </c>
      <c r="B43" s="3" t="s">
        <v>139</v>
      </c>
      <c r="C43" s="2" t="s">
        <v>140</v>
      </c>
      <c r="D43" s="2" t="s">
        <v>10</v>
      </c>
      <c r="E43" s="3" t="s">
        <v>24</v>
      </c>
      <c r="F43" s="4" t="s">
        <v>12</v>
      </c>
      <c r="G43" s="2" t="s">
        <v>141</v>
      </c>
    </row>
    <row r="44" customFormat="false" ht="15" hidden="false" customHeight="false" outlineLevel="0" collapsed="false">
      <c r="A44" s="2" t="s">
        <v>118</v>
      </c>
      <c r="B44" s="3" t="s">
        <v>93</v>
      </c>
      <c r="C44" s="2" t="s">
        <v>142</v>
      </c>
      <c r="D44" s="2" t="s">
        <v>80</v>
      </c>
      <c r="E44" s="3" t="s">
        <v>32</v>
      </c>
      <c r="F44" s="4" t="s">
        <v>12</v>
      </c>
      <c r="G44" s="2" t="s">
        <v>143</v>
      </c>
    </row>
    <row r="45" customFormat="false" ht="23.85" hidden="false" customHeight="false" outlineLevel="0" collapsed="false">
      <c r="A45" s="2" t="s">
        <v>118</v>
      </c>
      <c r="B45" s="3" t="s">
        <v>144</v>
      </c>
      <c r="C45" s="2" t="s">
        <v>145</v>
      </c>
      <c r="D45" s="2" t="s">
        <v>10</v>
      </c>
      <c r="E45" s="3" t="s">
        <v>24</v>
      </c>
      <c r="F45" s="4" t="s">
        <v>12</v>
      </c>
      <c r="G45" s="2" t="s">
        <v>146</v>
      </c>
    </row>
    <row r="46" customFormat="false" ht="15" hidden="false" customHeight="false" outlineLevel="0" collapsed="false">
      <c r="A46" s="2" t="s">
        <v>147</v>
      </c>
      <c r="B46" s="3" t="s">
        <v>148</v>
      </c>
      <c r="C46" s="2" t="s">
        <v>149</v>
      </c>
      <c r="D46" s="2" t="s">
        <v>10</v>
      </c>
      <c r="E46" s="3" t="s">
        <v>32</v>
      </c>
      <c r="F46" s="5" t="s">
        <v>150</v>
      </c>
      <c r="G46" s="2" t="s">
        <v>151</v>
      </c>
    </row>
    <row r="47" customFormat="false" ht="15" hidden="false" customHeight="false" outlineLevel="0" collapsed="false">
      <c r="A47" s="2" t="s">
        <v>147</v>
      </c>
      <c r="B47" s="3" t="s">
        <v>152</v>
      </c>
      <c r="C47" s="2" t="s">
        <v>153</v>
      </c>
      <c r="D47" s="2" t="s">
        <v>154</v>
      </c>
      <c r="E47" s="3" t="s">
        <v>24</v>
      </c>
      <c r="F47" s="5" t="s">
        <v>150</v>
      </c>
      <c r="G47" s="2" t="s">
        <v>155</v>
      </c>
    </row>
    <row r="48" customFormat="false" ht="23.85" hidden="false" customHeight="false" outlineLevel="0" collapsed="false">
      <c r="A48" s="2" t="s">
        <v>147</v>
      </c>
      <c r="B48" s="3" t="s">
        <v>156</v>
      </c>
      <c r="C48" s="2" t="s">
        <v>157</v>
      </c>
      <c r="D48" s="2" t="s">
        <v>154</v>
      </c>
      <c r="E48" s="3" t="s">
        <v>11</v>
      </c>
      <c r="F48" s="5" t="s">
        <v>150</v>
      </c>
      <c r="G48" s="2" t="s">
        <v>158</v>
      </c>
    </row>
  </sheetData>
  <autoFilter ref="A1:G48"/>
  <dataValidations count="1">
    <dataValidation allowBlank="true" errorStyle="stop" operator="between" showDropDown="false" showErrorMessage="false" showInputMessage="false" sqref="F2:F148" type="list">
      <formula1>"Hecho,En progreso,Pendiente"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6" t="s">
        <v>159</v>
      </c>
    </row>
    <row r="3" customFormat="false" ht="23.85" hidden="false" customHeight="false" outlineLevel="0" collapsed="false">
      <c r="A3" s="7" t="s">
        <v>160</v>
      </c>
    </row>
    <row r="4" customFormat="false" ht="15" hidden="false" customHeight="false" outlineLevel="0" collapsed="false">
      <c r="A4" s="7" t="s">
        <v>161</v>
      </c>
    </row>
    <row r="5" customFormat="false" ht="15" hidden="false" customHeight="false" outlineLevel="0" collapsed="false">
      <c r="A5" s="7" t="s">
        <v>162</v>
      </c>
    </row>
    <row r="6" customFormat="false" ht="23.85" hidden="false" customHeight="false" outlineLevel="0" collapsed="false">
      <c r="A6" s="7" t="s">
        <v>163</v>
      </c>
    </row>
    <row r="7" customFormat="false" ht="15" hidden="false" customHeight="false" outlineLevel="0" collapsed="false">
      <c r="A7" s="7" t="s">
        <v>164</v>
      </c>
    </row>
    <row r="9" customFormat="false" ht="15" hidden="false" customHeight="false" outlineLevel="0" collapsed="false">
      <c r="A9" s="8" t="s">
        <v>165</v>
      </c>
    </row>
    <row r="10" customFormat="false" ht="15" hidden="false" customHeight="false" outlineLevel="0" collapsed="false">
      <c r="A10" s="9" t="s">
        <v>12</v>
      </c>
      <c r="B10" s="9" t="n">
        <f aca="false">COUNTIF(Plantilla!F:F,"Hecho")</f>
        <v>44</v>
      </c>
    </row>
    <row r="11" customFormat="false" ht="15" hidden="false" customHeight="false" outlineLevel="0" collapsed="false">
      <c r="A11" s="9" t="s">
        <v>150</v>
      </c>
      <c r="B11" s="9" t="n">
        <f aca="false">COUNTIF(Plantilla!F:F,"En progreso")</f>
        <v>3</v>
      </c>
    </row>
    <row r="12" customFormat="false" ht="15" hidden="false" customHeight="false" outlineLevel="0" collapsed="false">
      <c r="A12" s="9" t="s">
        <v>166</v>
      </c>
      <c r="B12" s="9" t="n">
        <f aca="false">COUNTIF(Plantilla!F:F,"Pendiente")</f>
        <v>0</v>
      </c>
    </row>
    <row r="13" customFormat="false" ht="15" hidden="false" customHeight="false" outlineLevel="0" collapsed="false">
      <c r="A13" s="8" t="s">
        <v>167</v>
      </c>
      <c r="B13" s="8" t="n">
        <f aca="false">SUM(B10:B12)</f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2026-10-22T00:56:55Z</dcterms:created>
  <dc:creator>openpyxl</dc:creator>
  <dc:description/>
  <dc:language>en-US</dc:language>
  <cp:lastModifiedBy/>
  <dcterms:modified xsi:type="dcterms:W3CDTF">2026-10-22T00:56:55Z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