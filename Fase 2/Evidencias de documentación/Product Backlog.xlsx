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  <sheet name="Notas" sheetId="2" state="visible" r:id="rId4"/>
  </sheets>
  <definedNames>
    <definedName function="false" hidden="false" localSheetId="0" name="_xlnm.Print_Titles" vbProcedure="false">Plantilla!$1:$1</definedName>
    <definedName function="false" hidden="true" localSheetId="0" name="_xlnm._FilterDatabase" vbProcedure="false">Plantilla!$A$1:$G$47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<sst xmlns="http://schemas.openxmlformats.org/spreadsheetml/2006/main" count="295" uniqueCount="166">
  <si>
    <t xml:space="preserve">ID</t>
  </si>
  <si>
    <t xml:space="preserve">Historia / requisito</t>
  </si>
  <si>
    <t xml:space="preserve">Prioridad</t>
  </si>
  <si>
    <t xml:space="preserve">Valor</t>
  </si>
  <si>
    <t xml:space="preserve">Criterios de aceptación</t>
  </si>
  <si>
    <t xml:space="preserve">Responsable</t>
  </si>
  <si>
    <t xml:space="preserve">Estado</t>
  </si>
  <si>
    <t xml:space="preserve">HU-01</t>
  </si>
  <si>
    <t xml:space="preserve">[Forja] Como jugador, quiero calentar el metal en un minijuego de temperatura, para que la calidad del arma dependa de mi habilidad.</t>
  </si>
  <si>
    <t xml:space="preserve">Alta</t>
  </si>
  <si>
    <t xml:space="preserve">Mantener ESPACIO sube la temperatura y soltarlo la enfría. El tiempo dentro de la zona óptima define el puntaje (0 a 1). La barra cambia de color según la temperatura.</t>
  </si>
  <si>
    <t xml:space="preserve">Felipe Millán</t>
  </si>
  <si>
    <t xml:space="preserve">Hecho</t>
  </si>
  <si>
    <t xml:space="preserve">HU-02</t>
  </si>
  <si>
    <t xml:space="preserve">[Forja] Como jugador, quiero golpear el metal en el momento justo (minijuego de impacto), para mejorar la pieza forjada.</t>
  </si>
  <si>
    <t xml:space="preserve">Aparecen puntos de golpe con ventana de tiempo. PERFECTO / BIEN / Normal / Fallado según precisión. Se detecta la posición del clic.</t>
  </si>
  <si>
    <t xml:space="preserve">HU-03</t>
  </si>
  <si>
    <t xml:space="preserve">[Forja] Como jugador, quiero que la rareza del objeto forjado dependa de mi desempeño, para sentir progreso al mejorar.</t>
  </si>
  <si>
    <t xml:space="preserve">ForgeController combina temperatura (40%) e impacto (60%). RarityCalculator asigna Normal, Raro, Épico, Único o Legendario.</t>
  </si>
  <si>
    <t xml:space="preserve">HU-04</t>
  </si>
  <si>
    <t xml:space="preserve">[Forja] Como jugador, quiero completar el ciclo de forja de principio a fin, para obtener equipo utilizable.</t>
  </si>
  <si>
    <t xml:space="preserve">ForgeTest.tscn ejecuta Temperatura → Impacto → Resultado y entrega el objeto al inventario.</t>
  </si>
  <si>
    <t xml:space="preserve">HU-05</t>
  </si>
  <si>
    <t xml:space="preserve">[Forja] Como jugador, quiero necesitar un martillo equipado y pagar al calentar, para que la forja tenga reglas y costo.</t>
  </si>
  <si>
    <t xml:space="preserve">Media</t>
  </si>
  <si>
    <t xml:space="preserve">Sin martillo no se puede forjar. La forja descuenta monedas al empezar a calentar.</t>
  </si>
  <si>
    <t xml:space="preserve">HU-06</t>
  </si>
  <si>
    <t xml:space="preserve">[Forja / Accesibilidad] Como jugador con menos experiencia, quiero un Modo Asistencia que muestre la zona óptima, para poder aprender el minijuego.</t>
  </si>
  <si>
    <t xml:space="preserve">Toggle en Opciones (Esc). Las líneas aparecen y desaparecen al instante, incluso con el minijuego en curso. La opción se mantiene entre escenas.</t>
  </si>
  <si>
    <t xml:space="preserve">Joel Medina</t>
  </si>
  <si>
    <t xml:space="preserve">HU-07</t>
  </si>
  <si>
    <t xml:space="preserve">[Forja / Narrativa] Como jugador, quiero que Edric me enseñe técnicas de forja y queden en un Diario, para entender la progresión.</t>
  </si>
  <si>
    <t xml:space="preserve">Las técnicas (martillado, temple, agua o aceite, núcleo envuelto) se explican en diálogo y quedan anotadas en el Diario.</t>
  </si>
  <si>
    <t xml:space="preserve">HU-08</t>
  </si>
  <si>
    <t xml:space="preserve">[Modelo de datos] Como equipo, necesitamos un modelo de datos para objetos, materiales, equipo y planos, para que todos los sistemas usen la misma información.</t>
  </si>
  <si>
    <t xml:space="preserve">Existen los Resources ItemData, MaterialData, EquipmentData y BlueprintData, con stats, rareza y tipo de objeto.</t>
  </si>
  <si>
    <t xml:space="preserve">HU-09</t>
  </si>
  <si>
    <t xml:space="preserve">[Modelo de datos] Como jugador, quiero un inventario que guarde mis objetos entre escenas, para no perder lo recolectado.</t>
  </si>
  <si>
    <t xml:space="preserve">Inventory e InventorySlot como autoload. Apila cantidades y avisa si está lleno.</t>
  </si>
  <si>
    <t xml:space="preserve">HU-10</t>
  </si>
  <si>
    <t xml:space="preserve">[Modelo de datos] Como jugador, quiero estadísticas de personaje (nivel, XP, HP, MP, fuerza, defensa, etc.), para que mis decisiones afecten el juego.</t>
  </si>
  <si>
    <t xml:space="preserve">PlayerStats como autoload. Recalcula stats con el equipo. Sube de nivel con XP y entrega puntos de habilidad.</t>
  </si>
  <si>
    <t xml:space="preserve">HU-11</t>
  </si>
  <si>
    <t xml:space="preserve">[Modelo de datos] Como jugador, quiero que mi progreso como herrero se mantenga, para avanzar de etapa.</t>
  </si>
  <si>
    <t xml:space="preserve">BlacksmithProgression persiste entre escenas y bloquea el ascenso hasta que Edric acepta al jugador.</t>
  </si>
  <si>
    <t xml:space="preserve">HU-12</t>
  </si>
  <si>
    <t xml:space="preserve">[Economía] Como jugador, quiero vender lo que forjo en la tienda de Seren, para ganar dinero.</t>
  </si>
  <si>
    <t xml:space="preserve">Sistema de monedas (cobre, plata, oro). Solo se vende equipo forjado y no los martillos.</t>
  </si>
  <si>
    <t xml:space="preserve">HU-13</t>
  </si>
  <si>
    <t xml:space="preserve">[Mundo] Como jugador, quiero recorrer la herrería (taller y tienda), para interactuar con sus elementos.</t>
  </si>
  <si>
    <t xml:space="preserve">Taller y tienda conectados. Zonas de interacción con aviso en pantalla (F para objetos, E para hablar).</t>
  </si>
  <si>
    <t xml:space="preserve">HU-14</t>
  </si>
  <si>
    <t xml:space="preserve">[Mundo] Como jugador, quiero mover a mi personaje con animaciones, para explorar de forma natural.</t>
  </si>
  <si>
    <t xml:space="preserve">Movimiento lateral con A/D, correr con Shift, animaciones de quieto, correr, minar, guardia y ataque.</t>
  </si>
  <si>
    <t xml:space="preserve">HU-15</t>
  </si>
  <si>
    <t xml:space="preserve">[Mundo] Como jugador, quiero explorar la mina y recolectar minerales, para obtener materiales de forja.</t>
  </si>
  <si>
    <t xml:space="preserve">Mina con pasillos, vetas con temporizador y reaparición. Obtiene de 1 a 3 minerales según la suerte.</t>
  </si>
  <si>
    <t xml:space="preserve">HU-16</t>
  </si>
  <si>
    <t xml:space="preserve">[Mundo] Como jugador, quiero viajar entre taller, tienda, patio, exterior, bifurcación y bosque, para descubrir el mundo.</t>
  </si>
  <si>
    <t xml:space="preserve">Todas las salidas conectan con la escena correcta y el jugador aparece alineado con el fondo.</t>
  </si>
  <si>
    <t xml:space="preserve">HU-17</t>
  </si>
  <si>
    <t xml:space="preserve">[Mundo] Como jugador, quiero caminar solo por zonas válidas de cada escena, para no atravesar paredes ni objetos.</t>
  </si>
  <si>
    <t xml:space="preserve">Cada escena define su tramo caminable. Una prueba verifica que todas las salidas sigan alcanzables.</t>
  </si>
  <si>
    <t xml:space="preserve">En progreso</t>
  </si>
  <si>
    <t xml:space="preserve">HU-18</t>
  </si>
  <si>
    <t xml:space="preserve">[Mundo / Combate] Como jugador, quiero que los enemigos bloqueen el paso, para tener que pelear o devolverme.</t>
  </si>
  <si>
    <t xml:space="preserve">El lobo y el lobo alfa frenan al jugador por ambos lados; no se pueden saltar.</t>
  </si>
  <si>
    <t xml:space="preserve">HU-19</t>
  </si>
  <si>
    <t xml:space="preserve">[Narrativa] Como jugador, quiero diálogos entre personajes, para seguir la historia.</t>
  </si>
  <si>
    <t xml:space="preserve">Cajas de diálogo multi-personaje que avanzan con tecla y no se reabren solas al terminar.</t>
  </si>
  <si>
    <t xml:space="preserve">HU-20</t>
  </si>
  <si>
    <t xml:space="preserve">[Narrativa] Como jugador, quiero un arco de tutorial hasta el despertar de Edric, para aprender jugando.</t>
  </si>
  <si>
    <t xml:space="preserve">Secuencia El Reencuentro → La Confrontación → La Primera Lección conectada al mundo (sección 5 del GDD).</t>
  </si>
  <si>
    <t xml:space="preserve">HU-21</t>
  </si>
  <si>
    <t xml:space="preserve">[Narrativa] Como jugador, quiero una introducción de la historia, para entender el contexto de Aiden.</t>
  </si>
  <si>
    <t xml:space="preserve">Cutscene de introducción y revelación de Seren y Liria.</t>
  </si>
  <si>
    <t xml:space="preserve">HU-22</t>
  </si>
  <si>
    <t xml:space="preserve">[Combate] Como jugador, quiero combatir por turnos contra monstruos, para enfrentar desafíos.</t>
  </si>
  <si>
    <t xml:space="preserve">CombatManager con estados (inactivo, turno jugador, turno monstruo, terminado) y señales de inicio, turno y fin.</t>
  </si>
  <si>
    <t xml:space="preserve">HU-23</t>
  </si>
  <si>
    <t xml:space="preserve">[Combate] Como jugador, quiero que el daño reste HP y que el combate termine al llegar a 0, para que haya victoria o derrota.</t>
  </si>
  <si>
    <t xml:space="preserve">Daño = max(1, daño − defensa). Monstruo en 0 HP = victoria; jugador en 0 HP = derrota. No se puede iniciar un combate con uno activo.</t>
  </si>
  <si>
    <t xml:space="preserve">HU-24</t>
  </si>
  <si>
    <t xml:space="preserve">[Combate] Como jugador, quiero atacar con una ventana de timing, para que mi precisión afecte el daño.</t>
  </si>
  <si>
    <t xml:space="preserve">PERFECTO ×1.5, BIEN ×1.0, Normal ×0.5, Fallado ×0. Daño = fuerza × multiplicador − defensa del monstruo. Termina el turno.</t>
  </si>
  <si>
    <t xml:space="preserve">HU-25</t>
  </si>
  <si>
    <t xml:space="preserve">[Combate] Como jugador, quiero que el monstruo decida sus acciones, para que el combate sea un desafío.</t>
  </si>
  <si>
    <t xml:space="preserve">MonsterAI elige atacar, defender, rematar (jugador bajo 25% HP) o golpe desesperado (monstruo bajo 30% HP).</t>
  </si>
  <si>
    <t xml:space="preserve">Yerko Loncón</t>
  </si>
  <si>
    <t xml:space="preserve">HU-26</t>
  </si>
  <si>
    <t xml:space="preserve">[Combate] Como jugador, quiero defenderme con timing, para reducir el daño recibido.</t>
  </si>
  <si>
    <t xml:space="preserve">Acertar el timing de Defender reduce el daño del monstruo a la mitad durante 2 turnos del monstruo.</t>
  </si>
  <si>
    <t xml:space="preserve">HU-27</t>
  </si>
  <si>
    <t xml:space="preserve">[Combate / Pruebas] Como equipo, necesitamos escenas de combate de prueba, para validar el combate de forma aislada.</t>
  </si>
  <si>
    <t xml:space="preserve">CombatTest y CombatTestScene permiten iniciar combate, atacar y defender. Orco como monstruo de referencia más fuerte.</t>
  </si>
  <si>
    <t xml:space="preserve">HU-28</t>
  </si>
  <si>
    <t xml:space="preserve">[Combate / UI] Como jugador, quiero ver las barras de HP y MP mías y del monstruo durante el combate, para tomar decisiones.</t>
  </si>
  <si>
    <t xml:space="preserve">CombatHUD muestra nombre, HP y MP de ambos y se actualiza al recibir daño.</t>
  </si>
  <si>
    <t xml:space="preserve">Joel Medina / Felipe Millán</t>
  </si>
  <si>
    <t xml:space="preserve">HU-29</t>
  </si>
  <si>
    <t xml:space="preserve">[Combate] Como jugador, quiero enfrentar al Lobo Alfa en el mundo y recibir recompensas, para progresar.</t>
  </si>
  <si>
    <t xml:space="preserve">Al ganar: XP y cobre según el monstruo. Al perder: se pierde parte de la XP y puede perderse un objeto. El lobo reaparece tras un tiempo.</t>
  </si>
  <si>
    <t xml:space="preserve">HU-30</t>
  </si>
  <si>
    <t xml:space="preserve">[Combate] Como jugador, quiero lobos comunes con botín, para farmear materiales.</t>
  </si>
  <si>
    <t xml:space="preserve">Lobo de 45 HP con mordida y sangrado, botín (colmillo y piel), reaparición cada 90 s y animaciones.</t>
  </si>
  <si>
    <t xml:space="preserve">HU-31</t>
  </si>
  <si>
    <t xml:space="preserve">[Combate] Como jugador, quiero reaparecer recuperado en la herrería al perder, para poder seguir jugando.</t>
  </si>
  <si>
    <t xml:space="preserve">Al presionar Continuar tras perder, se recupera HP/MP y se reaparece en el taller. El botón Continuar siempre queda visible.</t>
  </si>
  <si>
    <t xml:space="preserve">HU-32</t>
  </si>
  <si>
    <t xml:space="preserve">[Combate / Economía] Como jugador, quiero comprar y usar pociones y vendas, para curarme.</t>
  </si>
  <si>
    <t xml:space="preserve">Tienda de Seren: poción roja (25 cobre), azul (30) y venda (12). Revisa el dinero y el espacio en la mochila.</t>
  </si>
  <si>
    <t xml:space="preserve">HU-33</t>
  </si>
  <si>
    <t xml:space="preserve">[UI] Como jugador, quiero un menú de pausa con opciones, para detener el juego y configurarlo.</t>
  </si>
  <si>
    <t xml:space="preserve">Esc pausa todo el juego (el jugador no se mueve). Incluye volumen, pantalla completa y Modo Asistencia.</t>
  </si>
  <si>
    <t xml:space="preserve">HU-34</t>
  </si>
  <si>
    <t xml:space="preserve">[UI] Como jugador, quiero un menú con pestañas sin superposiciones, para revisar inventario y estadísticas.</t>
  </si>
  <si>
    <t xml:space="preserve">Tecla I abre el menú y pausa el juego. Esc lo cierra. Funciona en todas las escenas.</t>
  </si>
  <si>
    <t xml:space="preserve">HU-35</t>
  </si>
  <si>
    <t xml:space="preserve">[UI] Como jugador, quiero ver mis estadísticas actualizadas en vivo, para conocer mi progreso.</t>
  </si>
  <si>
    <t xml:space="preserve">Muestra nivel, XP, HP, MP, fuerza, destreza, defensa y estamina con barras de color. Se actualiza al cambiar.</t>
  </si>
  <si>
    <t xml:space="preserve">HU-36</t>
  </si>
  <si>
    <t xml:space="preserve">[Progresión] Como jugador, quiero gastar puntos de habilidad al subir de nivel, para volverme más fuerte.</t>
  </si>
  <si>
    <t xml:space="preserve">Botón '+' por stat, deshabilitado sin puntos. Probado: Fuerza 5→8 duplica el daño contra el Goblin.</t>
  </si>
  <si>
    <t xml:space="preserve">HU-37</t>
  </si>
  <si>
    <t xml:space="preserve">[UI] Como jugador, quiero un inventario tipo RPG, para gestionar mi equipo con facilidad.</t>
  </si>
  <si>
    <t xml:space="preserve">8 espacios de equipo alrededor del personaje, mochila de 40 casillas con cantidades, arrastrar y soltar, y flecha para equipo mejor.</t>
  </si>
  <si>
    <t xml:space="preserve">Felipe Millán / Joel Medina</t>
  </si>
  <si>
    <t xml:space="preserve">HU-38</t>
  </si>
  <si>
    <t xml:space="preserve">[Arquitectura] Como equipo, necesitamos una UI global única, para evitar menús duplicados por escena.</t>
  </si>
  <si>
    <t xml:space="preserve">PauseMenu, MenuPrincipal y CombatHUD como autoload GlobalUI, instanciados una sola vez.</t>
  </si>
  <si>
    <t xml:space="preserve">HU-39</t>
  </si>
  <si>
    <t xml:space="preserve">[Persistencia] Como jugador, quiero que mis opciones se guarden al cerrar el juego, para no configurarlas cada vez.</t>
  </si>
  <si>
    <t xml:space="preserve">Volumen, pantalla completa y Modo Asistencia se guardan en user://settings.cfg y se cargan al iniciar.</t>
  </si>
  <si>
    <t xml:space="preserve">HU-40</t>
  </si>
  <si>
    <t xml:space="preserve">[Persistencia] Como jugador, quiero guardar mi partida, para continuar más tarde.</t>
  </si>
  <si>
    <t xml:space="preserve">Autoguardado en user://saves/slot_N.json, guardado en combate y opción de borrar partida.</t>
  </si>
  <si>
    <t xml:space="preserve">HU-41</t>
  </si>
  <si>
    <t xml:space="preserve">[Progresión] Como jugador, quiero rendir un examen de ascenso, para avanzar de etapa como herrero.</t>
  </si>
  <si>
    <t xml:space="preserve">Examen de ascenso disponible según la progresión del herrero.</t>
  </si>
  <si>
    <t xml:space="preserve">HU-42</t>
  </si>
  <si>
    <t xml:space="preserve">[UI / Tutorial] Como jugador nuevo, quiero tutoriales dentro del juego, para entender las mecánicas.</t>
  </si>
  <si>
    <t xml:space="preserve">Tutoriales contextuales gestionados por TutorialManager.</t>
  </si>
  <si>
    <t xml:space="preserve">HU-43</t>
  </si>
  <si>
    <t xml:space="preserve">[Arte y audio] Como jugador, quiero arte y animaciones coherentes, para una experiencia visual atractiva.</t>
  </si>
  <si>
    <t xml:space="preserve">Baja</t>
  </si>
  <si>
    <t xml:space="preserve">Sprites recortados, escala por escena, respiración, íconos en pixel art y fondos alineados.</t>
  </si>
  <si>
    <t xml:space="preserve">HU-44</t>
  </si>
  <si>
    <t xml:space="preserve">[Arte y audio] Como jugador, quiero sonido en el juego, para mayor inmersión.</t>
  </si>
  <si>
    <t xml:space="preserve">AudioManager con efectos y volumen controlado desde Opciones.</t>
  </si>
  <si>
    <t xml:space="preserve">HU-45</t>
  </si>
  <si>
    <t xml:space="preserve">[Integración] Como jugador, quiero que forja, combate y menús formen un flujo coherente, para jugar una partida completa.</t>
  </si>
  <si>
    <t xml:space="preserve">Se puede recolectar, forjar, vender, equiparse y combatir en una misma partida sin errores ni pasos rotos.</t>
  </si>
  <si>
    <t xml:space="preserve">Equipo</t>
  </si>
  <si>
    <t xml:space="preserve">HU-46</t>
  </si>
  <si>
    <t xml:space="preserve">[Gestión] Como equipo, necesitamos trabajar con ramas y Pull Requests, para evitar conflictos en main.</t>
  </si>
  <si>
    <t xml:space="preserve">Cada funcionalidad se desarrolla en una rama y se integra a main mediante PR revisado.</t>
  </si>
  <si>
    <t xml:space="preserve">Notas</t>
  </si>
  <si>
    <t xml:space="preserve">Fuentes: tablero Trello CAPSTONE-G6-2026-02 y repositorio GitHub FelipeMillanOrellana/Anvil_of_Ambition (rama main). Fecha de corte: 21-10-2026.</t>
  </si>
  <si>
    <t xml:space="preserve">Historia / requisito: formato 'Como &lt;rol&gt;, quiero &lt;funcionalidad&gt;, para &lt;beneficio&gt;'. Entre corchetes va la épica o módulo del juego.</t>
  </si>
  <si>
    <t xml:space="preserve">Prioridad: Alta (núcleo jugable: forja, combate, datos, persistencia), Media (mundo, UI, progresión), Baja (arte y audio).</t>
  </si>
  <si>
    <t xml:space="preserve">Valor: aporte al producto en escala de 1 (bajo) a 10 (crítico), definido por el equipo.</t>
  </si>
  <si>
    <t xml:space="preserve">Responsable: integrante que implementó la mayor parte, según el autor de los commits en GitHub y la columna del Trello.</t>
  </si>
  <si>
    <t xml:space="preserve">Estado: Hecho = integrado en main; En progreso = iniciado y no terminado; Pendiente = no iniciado. La columna Estado tiene una lista desplegable.</t>
  </si>
  <si>
    <t xml:space="preserve">Resumen por estado</t>
  </si>
  <si>
    <t xml:space="preserve">Pendiente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</si>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</sst>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344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22344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4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3" t="s">
        <v>8</v>
      </c>
      <c r="C2" s="2" t="s">
        <v>9</v>
      </c>
      <c r="D2" s="2" t="n">
        <v>9</v>
      </c>
      <c r="E2" s="3" t="s">
        <v>10</v>
      </c>
      <c r="F2" s="3" t="s">
        <v>11</v>
      </c>
      <c r="G2" s="4" t="s">
        <v>12</v>
      </c>
    </row>
    <row r="3" customFormat="false" ht="23.85" hidden="false" customHeight="false" outlineLevel="0" collapsed="false">
      <c r="A3" s="2" t="s">
        <v>13</v>
      </c>
      <c r="B3" s="3" t="s">
        <v>14</v>
      </c>
      <c r="C3" s="2" t="s">
        <v>9</v>
      </c>
      <c r="D3" s="2" t="n">
        <v>9</v>
      </c>
      <c r="E3" s="3" t="s">
        <v>15</v>
      </c>
      <c r="F3" s="3" t="s">
        <v>11</v>
      </c>
      <c r="G3" s="4" t="s">
        <v>12</v>
      </c>
    </row>
    <row r="4" customFormat="false" ht="23.85" hidden="false" customHeight="false" outlineLevel="0" collapsed="false">
      <c r="A4" s="2" t="s">
        <v>16</v>
      </c>
      <c r="B4" s="3" t="s">
        <v>17</v>
      </c>
      <c r="C4" s="2" t="s">
        <v>9</v>
      </c>
      <c r="D4" s="2" t="n">
        <v>8</v>
      </c>
      <c r="E4" s="3" t="s">
        <v>18</v>
      </c>
      <c r="F4" s="3" t="s">
        <v>11</v>
      </c>
      <c r="G4" s="4" t="s">
        <v>12</v>
      </c>
    </row>
    <row r="5" customFormat="false" ht="23.85" hidden="false" customHeight="false" outlineLevel="0" collapsed="false">
      <c r="A5" s="2" t="s">
        <v>19</v>
      </c>
      <c r="B5" s="3" t="s">
        <v>20</v>
      </c>
      <c r="C5" s="2" t="s">
        <v>9</v>
      </c>
      <c r="D5" s="2" t="n">
        <v>9</v>
      </c>
      <c r="E5" s="3" t="s">
        <v>21</v>
      </c>
      <c r="F5" s="3" t="s">
        <v>11</v>
      </c>
      <c r="G5" s="4" t="s">
        <v>12</v>
      </c>
    </row>
    <row r="6" customFormat="false" ht="23.85" hidden="false" customHeight="false" outlineLevel="0" collapsed="false">
      <c r="A6" s="2" t="s">
        <v>22</v>
      </c>
      <c r="B6" s="3" t="s">
        <v>23</v>
      </c>
      <c r="C6" s="2" t="s">
        <v>24</v>
      </c>
      <c r="D6" s="2" t="n">
        <v>6</v>
      </c>
      <c r="E6" s="3" t="s">
        <v>25</v>
      </c>
      <c r="F6" s="3" t="s">
        <v>11</v>
      </c>
      <c r="G6" s="4" t="s">
        <v>12</v>
      </c>
    </row>
    <row r="7" customFormat="false" ht="35.05" hidden="false" customHeight="false" outlineLevel="0" collapsed="false">
      <c r="A7" s="2" t="s">
        <v>26</v>
      </c>
      <c r="B7" s="3" t="s">
        <v>27</v>
      </c>
      <c r="C7" s="2" t="s">
        <v>24</v>
      </c>
      <c r="D7" s="2" t="n">
        <v>6</v>
      </c>
      <c r="E7" s="3" t="s">
        <v>28</v>
      </c>
      <c r="F7" s="3" t="s">
        <v>29</v>
      </c>
      <c r="G7" s="4" t="s">
        <v>12</v>
      </c>
    </row>
    <row r="8" customFormat="false" ht="35.05" hidden="false" customHeight="false" outlineLevel="0" collapsed="false">
      <c r="A8" s="2" t="s">
        <v>30</v>
      </c>
      <c r="B8" s="3" t="s">
        <v>31</v>
      </c>
      <c r="C8" s="2" t="s">
        <v>24</v>
      </c>
      <c r="D8" s="2" t="n">
        <v>5</v>
      </c>
      <c r="E8" s="3" t="s">
        <v>32</v>
      </c>
      <c r="F8" s="3" t="s">
        <v>11</v>
      </c>
      <c r="G8" s="4" t="s">
        <v>12</v>
      </c>
    </row>
    <row r="9" customFormat="false" ht="35.05" hidden="false" customHeight="false" outlineLevel="0" collapsed="false">
      <c r="A9" s="2" t="s">
        <v>33</v>
      </c>
      <c r="B9" s="3" t="s">
        <v>34</v>
      </c>
      <c r="C9" s="2" t="s">
        <v>9</v>
      </c>
      <c r="D9" s="2" t="n">
        <v>10</v>
      </c>
      <c r="E9" s="3" t="s">
        <v>35</v>
      </c>
      <c r="F9" s="3" t="s">
        <v>11</v>
      </c>
      <c r="G9" s="4" t="s">
        <v>12</v>
      </c>
    </row>
    <row r="10" customFormat="false" ht="23.85" hidden="false" customHeight="false" outlineLevel="0" collapsed="false">
      <c r="A10" s="2" t="s">
        <v>36</v>
      </c>
      <c r="B10" s="3" t="s">
        <v>37</v>
      </c>
      <c r="C10" s="2" t="s">
        <v>9</v>
      </c>
      <c r="D10" s="2" t="n">
        <v>9</v>
      </c>
      <c r="E10" s="3" t="s">
        <v>38</v>
      </c>
      <c r="F10" s="3" t="s">
        <v>11</v>
      </c>
      <c r="G10" s="4" t="s">
        <v>12</v>
      </c>
    </row>
    <row r="11" customFormat="false" ht="35.05" hidden="false" customHeight="false" outlineLevel="0" collapsed="false">
      <c r="A11" s="2" t="s">
        <v>39</v>
      </c>
      <c r="B11" s="3" t="s">
        <v>40</v>
      </c>
      <c r="C11" s="2" t="s">
        <v>9</v>
      </c>
      <c r="D11" s="2" t="n">
        <v>10</v>
      </c>
      <c r="E11" s="3" t="s">
        <v>41</v>
      </c>
      <c r="F11" s="3" t="s">
        <v>11</v>
      </c>
      <c r="G11" s="4" t="s">
        <v>12</v>
      </c>
    </row>
    <row r="12" customFormat="false" ht="23.85" hidden="false" customHeight="false" outlineLevel="0" collapsed="false">
      <c r="A12" s="2" t="s">
        <v>42</v>
      </c>
      <c r="B12" s="3" t="s">
        <v>43</v>
      </c>
      <c r="C12" s="2" t="s">
        <v>24</v>
      </c>
      <c r="D12" s="2" t="n">
        <v>7</v>
      </c>
      <c r="E12" s="3" t="s">
        <v>44</v>
      </c>
      <c r="F12" s="3" t="s">
        <v>11</v>
      </c>
      <c r="G12" s="4" t="s">
        <v>12</v>
      </c>
    </row>
    <row r="13" customFormat="false" ht="23.85" hidden="false" customHeight="false" outlineLevel="0" collapsed="false">
      <c r="A13" s="2" t="s">
        <v>45</v>
      </c>
      <c r="B13" s="3" t="s">
        <v>46</v>
      </c>
      <c r="C13" s="2" t="s">
        <v>24</v>
      </c>
      <c r="D13" s="2" t="n">
        <v>7</v>
      </c>
      <c r="E13" s="3" t="s">
        <v>47</v>
      </c>
      <c r="F13" s="3" t="s">
        <v>11</v>
      </c>
      <c r="G13" s="4" t="s">
        <v>12</v>
      </c>
    </row>
    <row r="14" customFormat="false" ht="23.85" hidden="false" customHeight="false" outlineLevel="0" collapsed="false">
      <c r="A14" s="2" t="s">
        <v>48</v>
      </c>
      <c r="B14" s="3" t="s">
        <v>49</v>
      </c>
      <c r="C14" s="2" t="s">
        <v>9</v>
      </c>
      <c r="D14" s="2" t="n">
        <v>8</v>
      </c>
      <c r="E14" s="3" t="s">
        <v>50</v>
      </c>
      <c r="F14" s="3" t="s">
        <v>11</v>
      </c>
      <c r="G14" s="4" t="s">
        <v>12</v>
      </c>
    </row>
    <row r="15" customFormat="false" ht="23.85" hidden="false" customHeight="false" outlineLevel="0" collapsed="false">
      <c r="A15" s="2" t="s">
        <v>51</v>
      </c>
      <c r="B15" s="3" t="s">
        <v>52</v>
      </c>
      <c r="C15" s="2" t="s">
        <v>9</v>
      </c>
      <c r="D15" s="2" t="n">
        <v>8</v>
      </c>
      <c r="E15" s="3" t="s">
        <v>53</v>
      </c>
      <c r="F15" s="3" t="s">
        <v>11</v>
      </c>
      <c r="G15" s="4" t="s">
        <v>12</v>
      </c>
    </row>
    <row r="16" customFormat="false" ht="23.85" hidden="false" customHeight="false" outlineLevel="0" collapsed="false">
      <c r="A16" s="2" t="s">
        <v>54</v>
      </c>
      <c r="B16" s="3" t="s">
        <v>55</v>
      </c>
      <c r="C16" s="2" t="s">
        <v>9</v>
      </c>
      <c r="D16" s="2" t="n">
        <v>8</v>
      </c>
      <c r="E16" s="3" t="s">
        <v>56</v>
      </c>
      <c r="F16" s="3" t="s">
        <v>11</v>
      </c>
      <c r="G16" s="4" t="s">
        <v>12</v>
      </c>
    </row>
    <row r="17" customFormat="false" ht="23.85" hidden="false" customHeight="false" outlineLevel="0" collapsed="false">
      <c r="A17" s="2" t="s">
        <v>57</v>
      </c>
      <c r="B17" s="3" t="s">
        <v>58</v>
      </c>
      <c r="C17" s="2" t="s">
        <v>24</v>
      </c>
      <c r="D17" s="2" t="n">
        <v>7</v>
      </c>
      <c r="E17" s="3" t="s">
        <v>59</v>
      </c>
      <c r="F17" s="3" t="s">
        <v>11</v>
      </c>
      <c r="G17" s="4" t="s">
        <v>12</v>
      </c>
    </row>
    <row r="18" customFormat="false" ht="23.85" hidden="false" customHeight="false" outlineLevel="0" collapsed="false">
      <c r="A18" s="2" t="s">
        <v>60</v>
      </c>
      <c r="B18" s="3" t="s">
        <v>61</v>
      </c>
      <c r="C18" s="2" t="s">
        <v>24</v>
      </c>
      <c r="D18" s="2" t="n">
        <v>5</v>
      </c>
      <c r="E18" s="3" t="s">
        <v>62</v>
      </c>
      <c r="F18" s="3" t="s">
        <v>11</v>
      </c>
      <c r="G18" s="5" t="s">
        <v>63</v>
      </c>
    </row>
    <row r="19" customFormat="false" ht="23.85" hidden="false" customHeight="false" outlineLevel="0" collapsed="false">
      <c r="A19" s="2" t="s">
        <v>64</v>
      </c>
      <c r="B19" s="3" t="s">
        <v>65</v>
      </c>
      <c r="C19" s="2" t="s">
        <v>24</v>
      </c>
      <c r="D19" s="2" t="n">
        <v>6</v>
      </c>
      <c r="E19" s="3" t="s">
        <v>66</v>
      </c>
      <c r="F19" s="3" t="s">
        <v>11</v>
      </c>
      <c r="G19" s="4" t="s">
        <v>12</v>
      </c>
    </row>
    <row r="20" customFormat="false" ht="23.85" hidden="false" customHeight="false" outlineLevel="0" collapsed="false">
      <c r="A20" s="2" t="s">
        <v>67</v>
      </c>
      <c r="B20" s="3" t="s">
        <v>68</v>
      </c>
      <c r="C20" s="2" t="s">
        <v>9</v>
      </c>
      <c r="D20" s="2" t="n">
        <v>8</v>
      </c>
      <c r="E20" s="3" t="s">
        <v>69</v>
      </c>
      <c r="F20" s="3" t="s">
        <v>11</v>
      </c>
      <c r="G20" s="4" t="s">
        <v>12</v>
      </c>
    </row>
    <row r="21" customFormat="false" ht="23.85" hidden="false" customHeight="false" outlineLevel="0" collapsed="false">
      <c r="A21" s="2" t="s">
        <v>70</v>
      </c>
      <c r="B21" s="3" t="s">
        <v>71</v>
      </c>
      <c r="C21" s="2" t="s">
        <v>9</v>
      </c>
      <c r="D21" s="2" t="n">
        <v>8</v>
      </c>
      <c r="E21" s="3" t="s">
        <v>72</v>
      </c>
      <c r="F21" s="3" t="s">
        <v>11</v>
      </c>
      <c r="G21" s="4" t="s">
        <v>12</v>
      </c>
    </row>
    <row r="22" customFormat="false" ht="23.85" hidden="false" customHeight="false" outlineLevel="0" collapsed="false">
      <c r="A22" s="2" t="s">
        <v>73</v>
      </c>
      <c r="B22" s="3" t="s">
        <v>74</v>
      </c>
      <c r="C22" s="2" t="s">
        <v>24</v>
      </c>
      <c r="D22" s="2" t="n">
        <v>6</v>
      </c>
      <c r="E22" s="3" t="s">
        <v>75</v>
      </c>
      <c r="F22" s="3" t="s">
        <v>11</v>
      </c>
      <c r="G22" s="4" t="s">
        <v>12</v>
      </c>
    </row>
    <row r="23" customFormat="false" ht="23.85" hidden="false" customHeight="false" outlineLevel="0" collapsed="false">
      <c r="A23" s="2" t="s">
        <v>76</v>
      </c>
      <c r="B23" s="3" t="s">
        <v>77</v>
      </c>
      <c r="C23" s="2" t="s">
        <v>9</v>
      </c>
      <c r="D23" s="2" t="n">
        <v>10</v>
      </c>
      <c r="E23" s="3" t="s">
        <v>78</v>
      </c>
      <c r="F23" s="3" t="s">
        <v>29</v>
      </c>
      <c r="G23" s="4" t="s">
        <v>12</v>
      </c>
    </row>
    <row r="24" customFormat="false" ht="23.85" hidden="false" customHeight="false" outlineLevel="0" collapsed="false">
      <c r="A24" s="2" t="s">
        <v>79</v>
      </c>
      <c r="B24" s="3" t="s">
        <v>80</v>
      </c>
      <c r="C24" s="2" t="s">
        <v>9</v>
      </c>
      <c r="D24" s="2" t="n">
        <v>10</v>
      </c>
      <c r="E24" s="3" t="s">
        <v>81</v>
      </c>
      <c r="F24" s="3" t="s">
        <v>29</v>
      </c>
      <c r="G24" s="4" t="s">
        <v>12</v>
      </c>
    </row>
    <row r="25" customFormat="false" ht="23.85" hidden="false" customHeight="false" outlineLevel="0" collapsed="false">
      <c r="A25" s="2" t="s">
        <v>82</v>
      </c>
      <c r="B25" s="3" t="s">
        <v>83</v>
      </c>
      <c r="C25" s="2" t="s">
        <v>9</v>
      </c>
      <c r="D25" s="2" t="n">
        <v>9</v>
      </c>
      <c r="E25" s="3" t="s">
        <v>84</v>
      </c>
      <c r="F25" s="3" t="s">
        <v>29</v>
      </c>
      <c r="G25" s="4" t="s">
        <v>12</v>
      </c>
    </row>
    <row r="26" customFormat="false" ht="23.85" hidden="false" customHeight="false" outlineLevel="0" collapsed="false">
      <c r="A26" s="2" t="s">
        <v>85</v>
      </c>
      <c r="B26" s="3" t="s">
        <v>86</v>
      </c>
      <c r="C26" s="2" t="s">
        <v>9</v>
      </c>
      <c r="D26" s="2" t="n">
        <v>9</v>
      </c>
      <c r="E26" s="3" t="s">
        <v>87</v>
      </c>
      <c r="F26" s="3" t="s">
        <v>88</v>
      </c>
      <c r="G26" s="4" t="s">
        <v>12</v>
      </c>
    </row>
    <row r="27" customFormat="false" ht="23.85" hidden="false" customHeight="false" outlineLevel="0" collapsed="false">
      <c r="A27" s="2" t="s">
        <v>89</v>
      </c>
      <c r="B27" s="3" t="s">
        <v>90</v>
      </c>
      <c r="C27" s="2" t="s">
        <v>9</v>
      </c>
      <c r="D27" s="2" t="n">
        <v>8</v>
      </c>
      <c r="E27" s="3" t="s">
        <v>91</v>
      </c>
      <c r="F27" s="3" t="s">
        <v>88</v>
      </c>
      <c r="G27" s="4" t="s">
        <v>12</v>
      </c>
    </row>
    <row r="28" customFormat="false" ht="23.85" hidden="false" customHeight="false" outlineLevel="0" collapsed="false">
      <c r="A28" s="2" t="s">
        <v>92</v>
      </c>
      <c r="B28" s="3" t="s">
        <v>93</v>
      </c>
      <c r="C28" s="2" t="s">
        <v>24</v>
      </c>
      <c r="D28" s="2" t="n">
        <v>7</v>
      </c>
      <c r="E28" s="3" t="s">
        <v>94</v>
      </c>
      <c r="F28" s="3" t="s">
        <v>88</v>
      </c>
      <c r="G28" s="4" t="s">
        <v>12</v>
      </c>
    </row>
    <row r="29" customFormat="false" ht="23.85" hidden="false" customHeight="false" outlineLevel="0" collapsed="false">
      <c r="A29" s="2" t="s">
        <v>95</v>
      </c>
      <c r="B29" s="3" t="s">
        <v>96</v>
      </c>
      <c r="C29" s="2" t="s">
        <v>9</v>
      </c>
      <c r="D29" s="2" t="n">
        <v>8</v>
      </c>
      <c r="E29" s="3" t="s">
        <v>97</v>
      </c>
      <c r="F29" s="3" t="s">
        <v>98</v>
      </c>
      <c r="G29" s="4" t="s">
        <v>12</v>
      </c>
    </row>
    <row r="30" customFormat="false" ht="23.85" hidden="false" customHeight="false" outlineLevel="0" collapsed="false">
      <c r="A30" s="2" t="s">
        <v>99</v>
      </c>
      <c r="B30" s="3" t="s">
        <v>100</v>
      </c>
      <c r="C30" s="2" t="s">
        <v>9</v>
      </c>
      <c r="D30" s="2" t="n">
        <v>9</v>
      </c>
      <c r="E30" s="3" t="s">
        <v>101</v>
      </c>
      <c r="F30" s="3" t="s">
        <v>11</v>
      </c>
      <c r="G30" s="4" t="s">
        <v>12</v>
      </c>
    </row>
    <row r="31" customFormat="false" ht="23.85" hidden="false" customHeight="false" outlineLevel="0" collapsed="false">
      <c r="A31" s="2" t="s">
        <v>102</v>
      </c>
      <c r="B31" s="3" t="s">
        <v>103</v>
      </c>
      <c r="C31" s="2" t="s">
        <v>24</v>
      </c>
      <c r="D31" s="2" t="n">
        <v>7</v>
      </c>
      <c r="E31" s="3" t="s">
        <v>104</v>
      </c>
      <c r="F31" s="3" t="s">
        <v>11</v>
      </c>
      <c r="G31" s="4" t="s">
        <v>12</v>
      </c>
    </row>
    <row r="32" customFormat="false" ht="23.85" hidden="false" customHeight="false" outlineLevel="0" collapsed="false">
      <c r="A32" s="2" t="s">
        <v>105</v>
      </c>
      <c r="B32" s="3" t="s">
        <v>106</v>
      </c>
      <c r="C32" s="2" t="s">
        <v>9</v>
      </c>
      <c r="D32" s="2" t="n">
        <v>8</v>
      </c>
      <c r="E32" s="3" t="s">
        <v>107</v>
      </c>
      <c r="F32" s="3" t="s">
        <v>29</v>
      </c>
      <c r="G32" s="4" t="s">
        <v>12</v>
      </c>
    </row>
    <row r="33" customFormat="false" ht="23.85" hidden="false" customHeight="false" outlineLevel="0" collapsed="false">
      <c r="A33" s="2" t="s">
        <v>108</v>
      </c>
      <c r="B33" s="3" t="s">
        <v>109</v>
      </c>
      <c r="C33" s="2" t="s">
        <v>9</v>
      </c>
      <c r="D33" s="2" t="n">
        <v>8</v>
      </c>
      <c r="E33" s="3" t="s">
        <v>110</v>
      </c>
      <c r="F33" s="3" t="s">
        <v>11</v>
      </c>
      <c r="G33" s="4" t="s">
        <v>12</v>
      </c>
    </row>
    <row r="34" customFormat="false" ht="23.85" hidden="false" customHeight="false" outlineLevel="0" collapsed="false">
      <c r="A34" s="2" t="s">
        <v>111</v>
      </c>
      <c r="B34" s="3" t="s">
        <v>112</v>
      </c>
      <c r="C34" s="2" t="s">
        <v>9</v>
      </c>
      <c r="D34" s="2" t="n">
        <v>8</v>
      </c>
      <c r="E34" s="3" t="s">
        <v>113</v>
      </c>
      <c r="F34" s="3" t="s">
        <v>29</v>
      </c>
      <c r="G34" s="4" t="s">
        <v>12</v>
      </c>
    </row>
    <row r="35" customFormat="false" ht="23.85" hidden="false" customHeight="false" outlineLevel="0" collapsed="false">
      <c r="A35" s="2" t="s">
        <v>114</v>
      </c>
      <c r="B35" s="3" t="s">
        <v>115</v>
      </c>
      <c r="C35" s="2" t="s">
        <v>9</v>
      </c>
      <c r="D35" s="2" t="n">
        <v>7</v>
      </c>
      <c r="E35" s="3" t="s">
        <v>116</v>
      </c>
      <c r="F35" s="3" t="s">
        <v>29</v>
      </c>
      <c r="G35" s="4" t="s">
        <v>12</v>
      </c>
    </row>
    <row r="36" customFormat="false" ht="23.85" hidden="false" customHeight="false" outlineLevel="0" collapsed="false">
      <c r="A36" s="2" t="s">
        <v>117</v>
      </c>
      <c r="B36" s="3" t="s">
        <v>118</v>
      </c>
      <c r="C36" s="2" t="s">
        <v>24</v>
      </c>
      <c r="D36" s="2" t="n">
        <v>7</v>
      </c>
      <c r="E36" s="3" t="s">
        <v>119</v>
      </c>
      <c r="F36" s="3" t="s">
        <v>29</v>
      </c>
      <c r="G36" s="4" t="s">
        <v>12</v>
      </c>
    </row>
    <row r="37" customFormat="false" ht="23.85" hidden="false" customHeight="false" outlineLevel="0" collapsed="false">
      <c r="A37" s="2" t="s">
        <v>120</v>
      </c>
      <c r="B37" s="3" t="s">
        <v>121</v>
      </c>
      <c r="C37" s="2" t="s">
        <v>9</v>
      </c>
      <c r="D37" s="2" t="n">
        <v>9</v>
      </c>
      <c r="E37" s="3" t="s">
        <v>122</v>
      </c>
      <c r="F37" s="3" t="s">
        <v>29</v>
      </c>
      <c r="G37" s="4" t="s">
        <v>12</v>
      </c>
    </row>
    <row r="38" customFormat="false" ht="23.85" hidden="false" customHeight="false" outlineLevel="0" collapsed="false">
      <c r="A38" s="2" t="s">
        <v>123</v>
      </c>
      <c r="B38" s="3" t="s">
        <v>124</v>
      </c>
      <c r="C38" s="2" t="s">
        <v>24</v>
      </c>
      <c r="D38" s="2" t="n">
        <v>7</v>
      </c>
      <c r="E38" s="3" t="s">
        <v>125</v>
      </c>
      <c r="F38" s="3" t="s">
        <v>126</v>
      </c>
      <c r="G38" s="4" t="s">
        <v>12</v>
      </c>
    </row>
    <row r="39" customFormat="false" ht="23.85" hidden="false" customHeight="false" outlineLevel="0" collapsed="false">
      <c r="A39" s="2" t="s">
        <v>127</v>
      </c>
      <c r="B39" s="3" t="s">
        <v>128</v>
      </c>
      <c r="C39" s="2" t="s">
        <v>24</v>
      </c>
      <c r="D39" s="2" t="n">
        <v>7</v>
      </c>
      <c r="E39" s="3" t="s">
        <v>129</v>
      </c>
      <c r="F39" s="3" t="s">
        <v>11</v>
      </c>
      <c r="G39" s="4" t="s">
        <v>12</v>
      </c>
    </row>
    <row r="40" customFormat="false" ht="23.85" hidden="false" customHeight="false" outlineLevel="0" collapsed="false">
      <c r="A40" s="2" t="s">
        <v>130</v>
      </c>
      <c r="B40" s="3" t="s">
        <v>131</v>
      </c>
      <c r="C40" s="2" t="s">
        <v>24</v>
      </c>
      <c r="D40" s="2" t="n">
        <v>6</v>
      </c>
      <c r="E40" s="3" t="s">
        <v>132</v>
      </c>
      <c r="F40" s="3" t="s">
        <v>29</v>
      </c>
      <c r="G40" s="4" t="s">
        <v>12</v>
      </c>
    </row>
    <row r="41" customFormat="false" ht="23.85" hidden="false" customHeight="false" outlineLevel="0" collapsed="false">
      <c r="A41" s="2" t="s">
        <v>133</v>
      </c>
      <c r="B41" s="3" t="s">
        <v>134</v>
      </c>
      <c r="C41" s="2" t="s">
        <v>9</v>
      </c>
      <c r="D41" s="2" t="n">
        <v>9</v>
      </c>
      <c r="E41" s="3" t="s">
        <v>135</v>
      </c>
      <c r="F41" s="3" t="s">
        <v>11</v>
      </c>
      <c r="G41" s="4" t="s">
        <v>12</v>
      </c>
    </row>
    <row r="42" customFormat="false" ht="23.85" hidden="false" customHeight="false" outlineLevel="0" collapsed="false">
      <c r="A42" s="2" t="s">
        <v>136</v>
      </c>
      <c r="B42" s="3" t="s">
        <v>137</v>
      </c>
      <c r="C42" s="2" t="s">
        <v>24</v>
      </c>
      <c r="D42" s="2" t="n">
        <v>6</v>
      </c>
      <c r="E42" s="3" t="s">
        <v>138</v>
      </c>
      <c r="F42" s="3" t="s">
        <v>11</v>
      </c>
      <c r="G42" s="4" t="s">
        <v>12</v>
      </c>
    </row>
    <row r="43" customFormat="false" ht="23.85" hidden="false" customHeight="false" outlineLevel="0" collapsed="false">
      <c r="A43" s="2" t="s">
        <v>139</v>
      </c>
      <c r="B43" s="3" t="s">
        <v>140</v>
      </c>
      <c r="C43" s="2" t="s">
        <v>24</v>
      </c>
      <c r="D43" s="2" t="n">
        <v>6</v>
      </c>
      <c r="E43" s="3" t="s">
        <v>141</v>
      </c>
      <c r="F43" s="3" t="s">
        <v>11</v>
      </c>
      <c r="G43" s="4" t="s">
        <v>12</v>
      </c>
    </row>
    <row r="44" customFormat="false" ht="23.85" hidden="false" customHeight="false" outlineLevel="0" collapsed="false">
      <c r="A44" s="2" t="s">
        <v>142</v>
      </c>
      <c r="B44" s="3" t="s">
        <v>143</v>
      </c>
      <c r="C44" s="2" t="s">
        <v>144</v>
      </c>
      <c r="D44" s="2" t="n">
        <v>5</v>
      </c>
      <c r="E44" s="3" t="s">
        <v>145</v>
      </c>
      <c r="F44" s="3" t="s">
        <v>11</v>
      </c>
      <c r="G44" s="4" t="s">
        <v>12</v>
      </c>
    </row>
    <row r="45" customFormat="false" ht="23.85" hidden="false" customHeight="false" outlineLevel="0" collapsed="false">
      <c r="A45" s="2" t="s">
        <v>146</v>
      </c>
      <c r="B45" s="3" t="s">
        <v>147</v>
      </c>
      <c r="C45" s="2" t="s">
        <v>144</v>
      </c>
      <c r="D45" s="2" t="n">
        <v>4</v>
      </c>
      <c r="E45" s="3" t="s">
        <v>148</v>
      </c>
      <c r="F45" s="3" t="s">
        <v>11</v>
      </c>
      <c r="G45" s="4" t="s">
        <v>12</v>
      </c>
    </row>
    <row r="46" customFormat="false" ht="23.85" hidden="false" customHeight="false" outlineLevel="0" collapsed="false">
      <c r="A46" s="2" t="s">
        <v>149</v>
      </c>
      <c r="B46" s="3" t="s">
        <v>150</v>
      </c>
      <c r="C46" s="2" t="s">
        <v>9</v>
      </c>
      <c r="D46" s="2" t="n">
        <v>10</v>
      </c>
      <c r="E46" s="3" t="s">
        <v>151</v>
      </c>
      <c r="F46" s="3" t="s">
        <v>152</v>
      </c>
      <c r="G46" s="5" t="s">
        <v>63</v>
      </c>
    </row>
    <row r="47" customFormat="false" ht="23.85" hidden="false" customHeight="false" outlineLevel="0" collapsed="false">
      <c r="A47" s="2" t="s">
        <v>153</v>
      </c>
      <c r="B47" s="3" t="s">
        <v>154</v>
      </c>
      <c r="C47" s="2" t="s">
        <v>9</v>
      </c>
      <c r="D47" s="2" t="n">
        <v>8</v>
      </c>
      <c r="E47" s="3" t="s">
        <v>155</v>
      </c>
      <c r="F47" s="3" t="s">
        <v>152</v>
      </c>
      <c r="G47" s="5" t="s">
        <v>63</v>
      </c>
    </row>
  </sheetData>
  <autoFilter ref="A1:G47"/>
  <dataValidations count="1">
    <dataValidation allowBlank="true" errorStyle="stop" operator="between" showDropDown="false" showErrorMessage="false" showInputMessage="false" sqref="G2:G147" type="list">
      <formula1>"Hecho,En progreso,Pendiente"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6" t="s">
        <v>156</v>
      </c>
    </row>
    <row r="3" customFormat="false" ht="23.85" hidden="false" customHeight="false" outlineLevel="0" collapsed="false">
      <c r="A3" s="7" t="s">
        <v>157</v>
      </c>
    </row>
    <row r="4" customFormat="false" ht="15" hidden="false" customHeight="false" outlineLevel="0" collapsed="false">
      <c r="A4" s="7" t="s">
        <v>158</v>
      </c>
    </row>
    <row r="5" customFormat="false" ht="15" hidden="false" customHeight="false" outlineLevel="0" collapsed="false">
      <c r="A5" s="7" t="s">
        <v>159</v>
      </c>
    </row>
    <row r="6" customFormat="false" ht="15" hidden="false" customHeight="false" outlineLevel="0" collapsed="false">
      <c r="A6" s="7" t="s">
        <v>160</v>
      </c>
    </row>
    <row r="7" customFormat="false" ht="15" hidden="false" customHeight="false" outlineLevel="0" collapsed="false">
      <c r="A7" s="7" t="s">
        <v>161</v>
      </c>
    </row>
    <row r="8" customFormat="false" ht="23.85" hidden="false" customHeight="false" outlineLevel="0" collapsed="false">
      <c r="A8" s="7" t="s">
        <v>162</v>
      </c>
    </row>
    <row r="10" customFormat="false" ht="15" hidden="false" customHeight="false" outlineLevel="0" collapsed="false">
      <c r="A10" s="8" t="s">
        <v>163</v>
      </c>
    </row>
    <row r="11" customFormat="false" ht="15" hidden="false" customHeight="false" outlineLevel="0" collapsed="false">
      <c r="A11" s="9" t="s">
        <v>12</v>
      </c>
      <c r="B11" s="9" t="n">
        <f aca="false">COUNTIF(Plantilla!G:G,"Hecho")</f>
        <v>43</v>
      </c>
    </row>
    <row r="12" customFormat="false" ht="15" hidden="false" customHeight="false" outlineLevel="0" collapsed="false">
      <c r="A12" s="9" t="s">
        <v>63</v>
      </c>
      <c r="B12" s="9" t="n">
        <f aca="false">COUNTIF(Plantilla!G:G,"En progreso")</f>
        <v>3</v>
      </c>
    </row>
    <row r="13" customFormat="false" ht="15" hidden="false" customHeight="false" outlineLevel="0" collapsed="false">
      <c r="A13" s="9" t="s">
        <v>164</v>
      </c>
      <c r="B13" s="9" t="n">
        <f aca="false">COUNTIF(Plantilla!G:G,"Pendiente")</f>
        <v>0</v>
      </c>
    </row>
    <row r="14" customFormat="false" ht="15" hidden="false" customHeight="false" outlineLevel="0" collapsed="false">
      <c r="A14" s="8" t="s">
        <v>165</v>
      </c>
      <c r="B14" s="8" t="n">
        <f aca="false">SUM(B11:B13)</f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2026-10-22T00:56:55Z</dcterms:created>
  <dc:creator>openpyxl</dc:creator>
  <dc:description/>
  <dc:language>en-US</dc:language>
  <cp:lastModifiedBy/>
  <dcterms:modified xsi:type="dcterms:W3CDTF">2026-10-22T00:56:55Z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