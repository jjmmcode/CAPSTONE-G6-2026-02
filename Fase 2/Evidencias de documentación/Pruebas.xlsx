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  <sheet name="Notas" sheetId="2" state="visible" r:id="rId4"/>
  </sheets>
  <definedNames>
    <definedName function="false" hidden="false" localSheetId="0" name="_xlnm.Print_Titles" vbProcedure="false">Plantilla!$1:$1</definedName>
    <definedName function="false" hidden="true" localSheetId="0" name="_xlnm._FilterDatabase" vbProcedure="false">Plantilla!$A$1:$G$25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<sst xmlns="http://schemas.openxmlformats.org/spreadsheetml/2006/main" count="185" uniqueCount="148">
  <si>
    <t xml:space="preserve">ID</t>
  </si>
  <si>
    <t xml:space="preserve">Tipo</t>
  </si>
  <si>
    <t xml:space="preserve">Caso de prueba</t>
  </si>
  <si>
    <t xml:space="preserve">Entrada</t>
  </si>
  <si>
    <t xml:space="preserve">Resultado esperado</t>
  </si>
  <si>
    <t xml:space="preserve">Resultado obtenido</t>
  </si>
  <si>
    <t xml:space="preserve">Estado</t>
  </si>
  <si>
    <t xml:space="preserve">PR-01</t>
  </si>
  <si>
    <t xml:space="preserve">Funcional (manual)</t>
  </si>
  <si>
    <t xml:space="preserve">Daño al monstruo con defensa (HU-23)</t>
  </si>
  <si>
    <t xml:space="preserve">Escena CombatTest. Iniciar combate vs Goblin (30 HP, defensa 2). Golpe de 10 de daño, 4 veces.</t>
  </si>
  <si>
    <t xml:space="preserve">Cada golpe resta 8 (10 − 2). HP: 22 → 14 → 6 → 0. El HP no baja de 0.</t>
  </si>
  <si>
    <t xml:space="preserve">HP 22/30, 14/30, 6/30, 0/30.</t>
  </si>
  <si>
    <t xml:space="preserve">Aprobado</t>
  </si>
  <si>
    <t xml:space="preserve">PR-02</t>
  </si>
  <si>
    <t xml:space="preserve">Bloqueo de daño fuera de combate (HU-23)</t>
  </si>
  <si>
    <t xml:space="preserve">Escena CombatTest recién iniciada, sin presionar Iniciar Combate. Golpear al monstruo.</t>
  </si>
  <si>
    <t xml:space="preserve">No se aplica daño (0).</t>
  </si>
  <si>
    <t xml:space="preserve">"Monstruo recibe 0 de daño".</t>
  </si>
  <si>
    <t xml:space="preserve">PR-03</t>
  </si>
  <si>
    <t xml:space="preserve">Victoria al llegar a 0 HP (HU-23)</t>
  </si>
  <si>
    <t xml:space="preserve">Combate vs Goblin. Reducir su HP a 0 y golpear una vez más.</t>
  </si>
  <si>
    <t xml:space="preserve">El combate termina en victoria al llegar a 0. El golpe extra no tiene efecto.</t>
  </si>
  <si>
    <t xml:space="preserve">"Combate terminado. ¡Victoria!" y luego "(sin efecto: no hay combate activo)".</t>
  </si>
  <si>
    <t xml:space="preserve">PR-04</t>
  </si>
  <si>
    <t xml:space="preserve">Derrota al morir el jugador (HU-23)</t>
  </si>
  <si>
    <t xml:space="preserve">Combate vs Goblin. Recibir 4 golpes de 30 (25 efectivos por defensa 5).</t>
  </si>
  <si>
    <t xml:space="preserve">HP 75 → 50 → 25 → 0 y una sola derrota.</t>
  </si>
  <si>
    <t xml:space="preserve">HP 75/100, 50/100, 25/100, 0/100. "Combate terminado. Derrota..." una vez.</t>
  </si>
  <si>
    <t xml:space="preserve">PR-05</t>
  </si>
  <si>
    <t xml:space="preserve">Muerte fuera de combate no dispara derrota (HU-23)</t>
  </si>
  <si>
    <t xml:space="preserve">Sin iniciar combate, recibir daño hasta 0 HP.</t>
  </si>
  <si>
    <t xml:space="preserve">No aparece mensaje de derrota.</t>
  </si>
  <si>
    <t xml:space="preserve">HP llega a 0/100 sin mensaje de derrota.</t>
  </si>
  <si>
    <t xml:space="preserve">PR-06</t>
  </si>
  <si>
    <t xml:space="preserve">Reinicio de combate tras terminar (HU-22)</t>
  </si>
  <si>
    <t xml:space="preserve">Ganar un combate y volver a presionar Iniciar Combate.</t>
  </si>
  <si>
    <t xml:space="preserve">Se inicia un nuevo combate con el monstruo en HP máximo.</t>
  </si>
  <si>
    <t xml:space="preserve">"¡Combate iniciado contra Goblin! (HP: 30)" y "→ Turno del jugador".</t>
  </si>
  <si>
    <t xml:space="preserve">PR-07</t>
  </si>
  <si>
    <t xml:space="preserve">Resultados de la ventana de timing (HU-24)</t>
  </si>
  <si>
    <t xml:space="preserve">Presionar Atacar (timing) y hacer clic: al llenarse la barra, muy temprano y sin clic.</t>
  </si>
  <si>
    <t xml:space="preserve">PERFECTO ×1.5 o BIEN ×1.0 al llenarse; Normal ×0.5 si es temprano; Fallado ×0.0 sin clic.</t>
  </si>
  <si>
    <t xml:space="preserve">PERFECTO x1.5, BIEN x1.0, Normal x0.5 y Fallado x0.0 obtenidos.</t>
  </si>
  <si>
    <t xml:space="preserve">PR-08</t>
  </si>
  <si>
    <t xml:space="preserve">Ataque solo en el turno del jugador (HU-24)</t>
  </si>
  <si>
    <t xml:space="preserve">Presionar Atacar durante el turno del monstruo y después de ganar.</t>
  </si>
  <si>
    <t xml:space="preserve">El ataque no se ejecuta.</t>
  </si>
  <si>
    <t xml:space="preserve">"(solo puedes atacar en tu turno)" y sin daño.</t>
  </si>
  <si>
    <t xml:space="preserve">PR-09</t>
  </si>
  <si>
    <t xml:space="preserve">Defensa del monstruo reduce el daño (HU-24 / HU-25)</t>
  </si>
  <si>
    <t xml:space="preserve">Forzar DEFEND_CHANCE_NORMAL = 1.0. Atacar con Normal (×0.5) mientras el monstruo se defiende.</t>
  </si>
  <si>
    <t xml:space="preserve">Daño = 5 × 0.5 = 3; × 0.5 por defensa ≈ 1 (redondeo) tras restar defensa 2.</t>
  </si>
  <si>
    <t xml:space="preserve">"(el monstruo se está defendiendo: daño x0.5)". HP 22 → 21.</t>
  </si>
  <si>
    <t xml:space="preserve">PR-10</t>
  </si>
  <si>
    <t xml:space="preserve">Corrección de defecto</t>
  </si>
  <si>
    <t xml:space="preserve">Defensa del monstruo se borraba antes del ataque del jugador (HU-25)</t>
  </si>
  <si>
    <t xml:space="preserve">Monstruo se defiende y luego el jugador ataca con PERFECTO.</t>
  </si>
  <si>
    <t xml:space="preserve">El daño debe reducirse a la mitad.</t>
  </si>
  <si>
    <t xml:space="preserve">Antes: daño completo (13). Tras corregir el reseteo de is_defending: daño reducido.</t>
  </si>
  <si>
    <t xml:space="preserve">Aprobado (tras corrección)</t>
  </si>
  <si>
    <t xml:space="preserve">PR-11</t>
  </si>
  <si>
    <t xml:space="preserve">Fuerza aumenta el daño (HU-36)</t>
  </si>
  <si>
    <t xml:space="preserve">Subir a nivel 2, invertir 3 puntos en Fuerza (5 → 8) y atacar al Goblin con BIEN.</t>
  </si>
  <si>
    <t xml:space="preserve">Daño = 8 × 1.0 − 2 = 6 (con Fuerza 5 era 3).</t>
  </si>
  <si>
    <t xml:space="preserve">HP del monstruo 22 → 16 (6 de daño).</t>
  </si>
  <si>
    <t xml:space="preserve">PR-12</t>
  </si>
  <si>
    <t xml:space="preserve">Gastar puntos de habilidad (HU-36)</t>
  </si>
  <si>
    <t xml:space="preserve">Subir a nivel 3 (6 puntos) e invertir en Fuerza, Destreza, Defensa y HP.</t>
  </si>
  <si>
    <t xml:space="preserve">Los stats suben, los puntos bajan a 0 y los botones '+' se deshabilitan.</t>
  </si>
  <si>
    <t xml:space="preserve">Fuerza 8, Destreza 6, Defensa 6, HP 110/110, Puntos 0, botones deshabilitados.</t>
  </si>
  <si>
    <t xml:space="preserve">PR-13</t>
  </si>
  <si>
    <t xml:space="preserve">Estadísticas se actualizan en vivo (HU-35)</t>
  </si>
  <si>
    <t xml:space="preserve">Con el menú I abierto: sumar 50 XP cuatro veces y recibir daño.</t>
  </si>
  <si>
    <t xml:space="preserve">Barra de XP sube, cambia a Nivel 2 (0/350) y el HP baja sin cerrar el menú.</t>
  </si>
  <si>
    <t xml:space="preserve">XP 50/200 → Nivel 2 con 0/350; HP 85/100.</t>
  </si>
  <si>
    <t xml:space="preserve">PR-14</t>
  </si>
  <si>
    <t xml:space="preserve">Menús pausan el juego (HU-33 / HU-34)</t>
  </si>
  <si>
    <t xml:space="preserve">Abrir menú I y menú de pausa (Esc) e intentar moverse e interactuar.</t>
  </si>
  <si>
    <t xml:space="preserve">El jugador no se mueve, F no interactúa y las animaciones se detienen.</t>
  </si>
  <si>
    <t xml:space="preserve">Jugador inmóvil y animación del horno congelada con ambos menús.</t>
  </si>
  <si>
    <t xml:space="preserve">PR-15</t>
  </si>
  <si>
    <t xml:space="preserve">Modo Asistencia muestra líneas de ayuda (HU-06)</t>
  </si>
  <si>
    <t xml:space="preserve">ForgeTest, fase de Temperatura. Activar Modo Asistencia desde la pausa sin reanudar.</t>
  </si>
  <si>
    <t xml:space="preserve">Aparecen dos líneas amarillas en la zona óptima de inmediato; al desactivar desaparecen.</t>
  </si>
  <si>
    <t xml:space="preserve">Líneas visibles al activar y ocultas al desactivar, en la misma fase.</t>
  </si>
  <si>
    <t xml:space="preserve">PR-16</t>
  </si>
  <si>
    <t xml:space="preserve">Líneas de ayuda invisibles (HU-06)</t>
  </si>
  <si>
    <t xml:space="preserve">Revisar las ColorRect OptimalZoneTop/Bottom de TemperatureMinigame.</t>
  </si>
  <si>
    <t xml:space="preserve">Las líneas deben verse cuando el modo está activo.</t>
  </si>
  <si>
    <t xml:space="preserve">Tenían alpha 0.004 y posición fija. Se corrigió el color y se ubican según optimal_min/max.</t>
  </si>
  <si>
    <t xml:space="preserve">PR-17</t>
  </si>
  <si>
    <t xml:space="preserve">Persistencia de opciones (HU-39)</t>
  </si>
  <si>
    <t xml:space="preserve">Cambiar volumen (~30%), pantalla completa y Modo Asistencia; cerrar y reabrir el juego.</t>
  </si>
  <si>
    <t xml:space="preserve">Las tres opciones se mantienen al reabrir.</t>
  </si>
  <si>
    <t xml:space="preserve">Volumen ~30%, pantalla completa ON y Modo Asistencia ON tras reabrir.</t>
  </si>
  <si>
    <t xml:space="preserve">PR-18</t>
  </si>
  <si>
    <t xml:space="preserve">Compatibilidad</t>
  </si>
  <si>
    <t xml:space="preserve">Pantalla completa en el editor (HU-39)</t>
  </si>
  <si>
    <t xml:space="preserve">Ejecutar con 'Embed Game on Next Play' activado y luego desactivado.</t>
  </si>
  <si>
    <t xml:space="preserve">La ventana pasa a pantalla completa.</t>
  </si>
  <si>
    <t xml:space="preserve">Incrustado: no cambia (limitación del editor). Ventana normal: sí cambia.</t>
  </si>
  <si>
    <t xml:space="preserve">Aprobado (con observación)</t>
  </si>
  <si>
    <t xml:space="preserve">PR-19</t>
  </si>
  <si>
    <t xml:space="preserve">Reaparición recuperado tras perder (HU-31)</t>
  </si>
  <si>
    <t xml:space="preserve">Perder contra el Lobo Alfa y presionar Continuar.</t>
  </si>
  <si>
    <t xml:space="preserve">Se reaparece en la herrería con HP y MP completos.</t>
  </si>
  <si>
    <t xml:space="preserve">Herrería con HP 100/100 y MP 50/50.</t>
  </si>
  <si>
    <t xml:space="preserve">PR-20</t>
  </si>
  <si>
    <t xml:space="preserve">Botón Continuar fuera de pantalla (HU-31)</t>
  </si>
  <si>
    <t xml:space="preserve">Terminar un combate contra el Lobo Alfa.</t>
  </si>
  <si>
    <t xml:space="preserve">El botón Continuar debe verse siempre.</t>
  </si>
  <si>
    <t xml:space="preserve">El panel tenía alto fijo y el botón quedaba fuera. Tras el ajuste, Continuar queda visible.</t>
  </si>
  <si>
    <t xml:space="preserve">PR-21</t>
  </si>
  <si>
    <t xml:space="preserve">Estructura de entrega</t>
  </si>
  <si>
    <t xml:space="preserve">Estructura del repositorio de evidencias</t>
  </si>
  <si>
    <t xml:space="preserve">Auditor del docente (ErnestoLeonidas/base_capstone) sobre jjmmcode/CAPSTONE-G6-2026-02.</t>
  </si>
  <si>
    <t xml:space="preserve">100% de la estructura y nombres esperados.</t>
  </si>
  <si>
    <t xml:space="preserve">100% el 21-10-2026; luego 98% por un nombre de archivo individual a corregir.</t>
  </si>
  <si>
    <t xml:space="preserve">Observado</t>
  </si>
  <si>
    <t xml:space="preserve">PR-22</t>
  </si>
  <si>
    <t xml:space="preserve">Guardado y carga de partida (HU-40)</t>
  </si>
  <si>
    <t xml:space="preserve">Jugar, guardar en una ranura, cerrar y cargar la ranura.</t>
  </si>
  <si>
    <t xml:space="preserve">Se restauran estadísticas, inventario, monedas, progresión, escena y posición.</t>
  </si>
  <si>
    <t xml:space="preserve">Pendiente de ejecutar y registrar.</t>
  </si>
  <si>
    <t xml:space="preserve">Pendiente</t>
  </si>
  <si>
    <t xml:space="preserve">PR-23</t>
  </si>
  <si>
    <t xml:space="preserve">Automatizada</t>
  </si>
  <si>
    <t xml:space="preserve">Pruebas automatizadas de sistemas (objetivo específico 6 de la 1.5)</t>
  </si>
  <si>
    <t xml:space="preserve">Scripts que ejecutan el juego sin interfaz y verifican cada sistema.</t>
  </si>
  <si>
    <t xml:space="preserve">Cada sistema pasa sus casos sin errores.</t>
  </si>
  <si>
    <t xml:space="preserve">Aún no existen en el repositorio del juego.</t>
  </si>
  <si>
    <t xml:space="preserve">PR-24</t>
  </si>
  <si>
    <t xml:space="preserve">Usuario</t>
  </si>
  <si>
    <t xml:space="preserve">Prueba con estudiantes de metalurgia (objetivo específico 6 de la 1.5)</t>
  </si>
  <si>
    <t xml:space="preserve">Sesión de juego y encuesta de comprensión de propiedades de los metales.</t>
  </si>
  <si>
    <t xml:space="preserve">Los estudiantes responden correctamente las preguntas de la encuesta.</t>
  </si>
  <si>
    <t xml:space="preserve">Planificada para la etapa de pruebas.</t>
  </si>
  <si>
    <t xml:space="preserve">Notas</t>
  </si>
  <si>
    <t xml:space="preserve">Fuente: pruebas ejecutadas por el equipo en Godot 4.7 sobre las escenas de prueba (CombatTest.tscn, CombatTestScene.tscn, ForgeTest.tscn) y el juego completo, entre el 22-09 y el 21-10-2026.</t>
  </si>
  <si>
    <t xml:space="preserve">Los IDs entre paréntesis (HU-xx) corresponden a las historias del Product Backlog.</t>
  </si>
  <si>
    <t xml:space="preserve">Tipo: Funcional (manual) = ejecutada por un integrante en el juego; Corrección de defecto = prueba que detectó un error que luego se corrigió; Automatizada y Usuario = pruebas planificadas en la Definición del Proyecto (1.5).</t>
  </si>
  <si>
    <t xml:space="preserve">Estado: Aprobado, Aprobado (tras corrección), Aprobado (con observación), Observado, Fallido o Pendiente (lista desplegable).</t>
  </si>
  <si>
    <t xml:space="preserve">Resumen</t>
  </si>
  <si>
    <t xml:space="preserve">Aprobadas (incluye tras corrección y con observación)</t>
  </si>
  <si>
    <t xml:space="preserve">Observadas</t>
  </si>
  <si>
    <t xml:space="preserve">Pendientes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</si>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</sst>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2344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22344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4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6" min="5" style="0" width="4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customFormat="false" ht="23.85" hidden="false" customHeight="false" outlineLevel="0" collapsed="false">
      <c r="A3" s="2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13</v>
      </c>
    </row>
    <row r="4" customFormat="false" ht="23.85" hidden="false" customHeight="false" outlineLevel="0" collapsed="false">
      <c r="A4" s="2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4" t="s">
        <v>13</v>
      </c>
    </row>
    <row r="5" customFormat="false" ht="23.85" hidden="false" customHeight="false" outlineLevel="0" collapsed="false">
      <c r="A5" s="2" t="s">
        <v>24</v>
      </c>
      <c r="B5" s="3" t="s">
        <v>8</v>
      </c>
      <c r="C5" s="3" t="s">
        <v>25</v>
      </c>
      <c r="D5" s="3" t="s">
        <v>26</v>
      </c>
      <c r="E5" s="3" t="s">
        <v>27</v>
      </c>
      <c r="F5" s="3" t="s">
        <v>28</v>
      </c>
      <c r="G5" s="4" t="s">
        <v>13</v>
      </c>
    </row>
    <row r="6" customFormat="false" ht="23.85" hidden="false" customHeight="false" outlineLevel="0" collapsed="false">
      <c r="A6" s="2" t="s">
        <v>29</v>
      </c>
      <c r="B6" s="3" t="s">
        <v>8</v>
      </c>
      <c r="C6" s="3" t="s">
        <v>30</v>
      </c>
      <c r="D6" s="3" t="s">
        <v>31</v>
      </c>
      <c r="E6" s="3" t="s">
        <v>32</v>
      </c>
      <c r="F6" s="3" t="s">
        <v>33</v>
      </c>
      <c r="G6" s="4" t="s">
        <v>13</v>
      </c>
    </row>
    <row r="7" customFormat="false" ht="23.85" hidden="false" customHeight="false" outlineLevel="0" collapsed="false">
      <c r="A7" s="2" t="s">
        <v>34</v>
      </c>
      <c r="B7" s="3" t="s">
        <v>8</v>
      </c>
      <c r="C7" s="3" t="s">
        <v>35</v>
      </c>
      <c r="D7" s="3" t="s">
        <v>36</v>
      </c>
      <c r="E7" s="3" t="s">
        <v>37</v>
      </c>
      <c r="F7" s="3" t="s">
        <v>38</v>
      </c>
      <c r="G7" s="4" t="s">
        <v>13</v>
      </c>
    </row>
    <row r="8" customFormat="false" ht="23.85" hidden="false" customHeight="false" outlineLevel="0" collapsed="false">
      <c r="A8" s="2" t="s">
        <v>39</v>
      </c>
      <c r="B8" s="3" t="s">
        <v>8</v>
      </c>
      <c r="C8" s="3" t="s">
        <v>40</v>
      </c>
      <c r="D8" s="3" t="s">
        <v>41</v>
      </c>
      <c r="E8" s="3" t="s">
        <v>42</v>
      </c>
      <c r="F8" s="3" t="s">
        <v>43</v>
      </c>
      <c r="G8" s="4" t="s">
        <v>13</v>
      </c>
    </row>
    <row r="9" customFormat="false" ht="23.85" hidden="false" customHeight="false" outlineLevel="0" collapsed="false">
      <c r="A9" s="2" t="s">
        <v>44</v>
      </c>
      <c r="B9" s="3" t="s">
        <v>8</v>
      </c>
      <c r="C9" s="3" t="s">
        <v>45</v>
      </c>
      <c r="D9" s="3" t="s">
        <v>46</v>
      </c>
      <c r="E9" s="3" t="s">
        <v>47</v>
      </c>
      <c r="F9" s="3" t="s">
        <v>48</v>
      </c>
      <c r="G9" s="4" t="s">
        <v>13</v>
      </c>
    </row>
    <row r="10" customFormat="false" ht="23.85" hidden="false" customHeight="false" outlineLevel="0" collapsed="false">
      <c r="A10" s="2" t="s">
        <v>49</v>
      </c>
      <c r="B10" s="3" t="s">
        <v>8</v>
      </c>
      <c r="C10" s="3" t="s">
        <v>50</v>
      </c>
      <c r="D10" s="3" t="s">
        <v>51</v>
      </c>
      <c r="E10" s="3" t="s">
        <v>52</v>
      </c>
      <c r="F10" s="3" t="s">
        <v>53</v>
      </c>
      <c r="G10" s="4" t="s">
        <v>13</v>
      </c>
    </row>
    <row r="11" customFormat="false" ht="23.85" hidden="false" customHeight="false" outlineLevel="0" collapsed="false">
      <c r="A11" s="2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4" t="s">
        <v>60</v>
      </c>
    </row>
    <row r="12" customFormat="false" ht="23.85" hidden="false" customHeight="false" outlineLevel="0" collapsed="false">
      <c r="A12" s="2" t="s">
        <v>61</v>
      </c>
      <c r="B12" s="3" t="s">
        <v>8</v>
      </c>
      <c r="C12" s="3" t="s">
        <v>62</v>
      </c>
      <c r="D12" s="3" t="s">
        <v>63</v>
      </c>
      <c r="E12" s="3" t="s">
        <v>64</v>
      </c>
      <c r="F12" s="3" t="s">
        <v>65</v>
      </c>
      <c r="G12" s="4" t="s">
        <v>13</v>
      </c>
    </row>
    <row r="13" customFormat="false" ht="23.85" hidden="false" customHeight="false" outlineLevel="0" collapsed="false">
      <c r="A13" s="2" t="s">
        <v>66</v>
      </c>
      <c r="B13" s="3" t="s">
        <v>8</v>
      </c>
      <c r="C13" s="3" t="s">
        <v>67</v>
      </c>
      <c r="D13" s="3" t="s">
        <v>68</v>
      </c>
      <c r="E13" s="3" t="s">
        <v>69</v>
      </c>
      <c r="F13" s="3" t="s">
        <v>70</v>
      </c>
      <c r="G13" s="4" t="s">
        <v>13</v>
      </c>
    </row>
    <row r="14" customFormat="false" ht="23.85" hidden="false" customHeight="false" outlineLevel="0" collapsed="false">
      <c r="A14" s="2" t="s">
        <v>71</v>
      </c>
      <c r="B14" s="3" t="s">
        <v>8</v>
      </c>
      <c r="C14" s="3" t="s">
        <v>72</v>
      </c>
      <c r="D14" s="3" t="s">
        <v>73</v>
      </c>
      <c r="E14" s="3" t="s">
        <v>74</v>
      </c>
      <c r="F14" s="3" t="s">
        <v>75</v>
      </c>
      <c r="G14" s="4" t="s">
        <v>13</v>
      </c>
    </row>
    <row r="15" customFormat="false" ht="23.85" hidden="false" customHeight="false" outlineLevel="0" collapsed="false">
      <c r="A15" s="2" t="s">
        <v>76</v>
      </c>
      <c r="B15" s="3" t="s">
        <v>8</v>
      </c>
      <c r="C15" s="3" t="s">
        <v>77</v>
      </c>
      <c r="D15" s="3" t="s">
        <v>78</v>
      </c>
      <c r="E15" s="3" t="s">
        <v>79</v>
      </c>
      <c r="F15" s="3" t="s">
        <v>80</v>
      </c>
      <c r="G15" s="4" t="s">
        <v>13</v>
      </c>
    </row>
    <row r="16" customFormat="false" ht="23.85" hidden="false" customHeight="false" outlineLevel="0" collapsed="false">
      <c r="A16" s="2" t="s">
        <v>81</v>
      </c>
      <c r="B16" s="3" t="s">
        <v>8</v>
      </c>
      <c r="C16" s="3" t="s">
        <v>82</v>
      </c>
      <c r="D16" s="3" t="s">
        <v>83</v>
      </c>
      <c r="E16" s="3" t="s">
        <v>84</v>
      </c>
      <c r="F16" s="3" t="s">
        <v>85</v>
      </c>
      <c r="G16" s="4" t="s">
        <v>13</v>
      </c>
    </row>
    <row r="17" customFormat="false" ht="23.85" hidden="false" customHeight="false" outlineLevel="0" collapsed="false">
      <c r="A17" s="2" t="s">
        <v>86</v>
      </c>
      <c r="B17" s="3" t="s">
        <v>55</v>
      </c>
      <c r="C17" s="3" t="s">
        <v>87</v>
      </c>
      <c r="D17" s="3" t="s">
        <v>88</v>
      </c>
      <c r="E17" s="3" t="s">
        <v>89</v>
      </c>
      <c r="F17" s="3" t="s">
        <v>90</v>
      </c>
      <c r="G17" s="4" t="s">
        <v>60</v>
      </c>
    </row>
    <row r="18" customFormat="false" ht="23.85" hidden="false" customHeight="false" outlineLevel="0" collapsed="false">
      <c r="A18" s="2" t="s">
        <v>91</v>
      </c>
      <c r="B18" s="3" t="s">
        <v>8</v>
      </c>
      <c r="C18" s="3" t="s">
        <v>92</v>
      </c>
      <c r="D18" s="3" t="s">
        <v>93</v>
      </c>
      <c r="E18" s="3" t="s">
        <v>94</v>
      </c>
      <c r="F18" s="3" t="s">
        <v>95</v>
      </c>
      <c r="G18" s="4" t="s">
        <v>13</v>
      </c>
    </row>
    <row r="19" customFormat="false" ht="23.85" hidden="false" customHeight="false" outlineLevel="0" collapsed="false">
      <c r="A19" s="2" t="s">
        <v>96</v>
      </c>
      <c r="B19" s="3" t="s">
        <v>97</v>
      </c>
      <c r="C19" s="3" t="s">
        <v>98</v>
      </c>
      <c r="D19" s="3" t="s">
        <v>99</v>
      </c>
      <c r="E19" s="3" t="s">
        <v>100</v>
      </c>
      <c r="F19" s="3" t="s">
        <v>101</v>
      </c>
      <c r="G19" s="4" t="s">
        <v>102</v>
      </c>
    </row>
    <row r="20" customFormat="false" ht="23.85" hidden="false" customHeight="false" outlineLevel="0" collapsed="false">
      <c r="A20" s="2" t="s">
        <v>103</v>
      </c>
      <c r="B20" s="3" t="s">
        <v>8</v>
      </c>
      <c r="C20" s="3" t="s">
        <v>104</v>
      </c>
      <c r="D20" s="3" t="s">
        <v>105</v>
      </c>
      <c r="E20" s="3" t="s">
        <v>106</v>
      </c>
      <c r="F20" s="3" t="s">
        <v>107</v>
      </c>
      <c r="G20" s="4" t="s">
        <v>13</v>
      </c>
    </row>
    <row r="21" customFormat="false" ht="23.85" hidden="false" customHeight="false" outlineLevel="0" collapsed="false">
      <c r="A21" s="2" t="s">
        <v>108</v>
      </c>
      <c r="B21" s="3" t="s">
        <v>55</v>
      </c>
      <c r="C21" s="3" t="s">
        <v>109</v>
      </c>
      <c r="D21" s="3" t="s">
        <v>110</v>
      </c>
      <c r="E21" s="3" t="s">
        <v>111</v>
      </c>
      <c r="F21" s="3" t="s">
        <v>112</v>
      </c>
      <c r="G21" s="4" t="s">
        <v>60</v>
      </c>
    </row>
    <row r="22" customFormat="false" ht="23.85" hidden="false" customHeight="false" outlineLevel="0" collapsed="false">
      <c r="A22" s="2" t="s">
        <v>113</v>
      </c>
      <c r="B22" s="3" t="s">
        <v>114</v>
      </c>
      <c r="C22" s="3" t="s">
        <v>115</v>
      </c>
      <c r="D22" s="3" t="s">
        <v>116</v>
      </c>
      <c r="E22" s="3" t="s">
        <v>117</v>
      </c>
      <c r="F22" s="3" t="s">
        <v>118</v>
      </c>
      <c r="G22" s="5" t="s">
        <v>119</v>
      </c>
    </row>
    <row r="23" customFormat="false" ht="23.85" hidden="false" customHeight="false" outlineLevel="0" collapsed="false">
      <c r="A23" s="2" t="s">
        <v>120</v>
      </c>
      <c r="B23" s="3" t="s">
        <v>8</v>
      </c>
      <c r="C23" s="3" t="s">
        <v>121</v>
      </c>
      <c r="D23" s="3" t="s">
        <v>122</v>
      </c>
      <c r="E23" s="3" t="s">
        <v>123</v>
      </c>
      <c r="F23" s="3" t="s">
        <v>124</v>
      </c>
      <c r="G23" s="6" t="s">
        <v>125</v>
      </c>
    </row>
    <row r="24" customFormat="false" ht="23.85" hidden="false" customHeight="false" outlineLevel="0" collapsed="false">
      <c r="A24" s="2" t="s">
        <v>126</v>
      </c>
      <c r="B24" s="3" t="s">
        <v>127</v>
      </c>
      <c r="C24" s="3" t="s">
        <v>128</v>
      </c>
      <c r="D24" s="3" t="s">
        <v>129</v>
      </c>
      <c r="E24" s="3" t="s">
        <v>130</v>
      </c>
      <c r="F24" s="3" t="s">
        <v>131</v>
      </c>
      <c r="G24" s="6" t="s">
        <v>125</v>
      </c>
    </row>
    <row r="25" customFormat="false" ht="23.85" hidden="false" customHeight="false" outlineLevel="0" collapsed="false">
      <c r="A25" s="2" t="s">
        <v>132</v>
      </c>
      <c r="B25" s="3" t="s">
        <v>133</v>
      </c>
      <c r="C25" s="3" t="s">
        <v>134</v>
      </c>
      <c r="D25" s="3" t="s">
        <v>135</v>
      </c>
      <c r="E25" s="3" t="s">
        <v>136</v>
      </c>
      <c r="F25" s="3" t="s">
        <v>137</v>
      </c>
      <c r="G25" s="6" t="s">
        <v>125</v>
      </c>
    </row>
  </sheetData>
  <autoFilter ref="A1:G25"/>
  <dataValidations count="1">
    <dataValidation allowBlank="true" errorStyle="stop" operator="between" showDropDown="false" showErrorMessage="false" showInputMessage="false" sqref="G2:G125" type="list">
      <formula1>"Aprobado,Aprobado (tras corrección),Aprobado (con observación),Observado,Fallido,Pendiente"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7" t="s">
        <v>138</v>
      </c>
    </row>
    <row r="3" customFormat="false" ht="23.85" hidden="false" customHeight="false" outlineLevel="0" collapsed="false">
      <c r="A3" s="8" t="s">
        <v>139</v>
      </c>
    </row>
    <row r="4" customFormat="false" ht="15" hidden="false" customHeight="false" outlineLevel="0" collapsed="false">
      <c r="A4" s="8" t="s">
        <v>140</v>
      </c>
    </row>
    <row r="5" customFormat="false" ht="23.85" hidden="false" customHeight="false" outlineLevel="0" collapsed="false">
      <c r="A5" s="8" t="s">
        <v>141</v>
      </c>
    </row>
    <row r="6" customFormat="false" ht="15" hidden="false" customHeight="false" outlineLevel="0" collapsed="false">
      <c r="A6" s="8" t="s">
        <v>142</v>
      </c>
    </row>
    <row r="8" customFormat="false" ht="15" hidden="false" customHeight="false" outlineLevel="0" collapsed="false">
      <c r="A8" s="9" t="s">
        <v>143</v>
      </c>
    </row>
    <row r="9" customFormat="false" ht="15" hidden="false" customHeight="false" outlineLevel="0" collapsed="false">
      <c r="A9" s="10" t="s">
        <v>144</v>
      </c>
      <c r="B9" s="10" t="n">
        <f aca="false">COUNTIF(Plantilla!G:G,"Aprobado*")</f>
        <v>20</v>
      </c>
    </row>
    <row r="10" customFormat="false" ht="15" hidden="false" customHeight="false" outlineLevel="0" collapsed="false">
      <c r="A10" s="10" t="s">
        <v>145</v>
      </c>
      <c r="B10" s="10" t="n">
        <f aca="false">COUNTIF(Plantilla!G:G,"Observado")</f>
        <v>1</v>
      </c>
    </row>
    <row r="11" customFormat="false" ht="15" hidden="false" customHeight="false" outlineLevel="0" collapsed="false">
      <c r="A11" s="10" t="s">
        <v>146</v>
      </c>
      <c r="B11" s="10" t="n">
        <f aca="false">COUNTIF(Plantilla!G:G,"Pendiente")</f>
        <v>3</v>
      </c>
    </row>
    <row r="12" customFormat="false" ht="15" hidden="false" customHeight="false" outlineLevel="0" collapsed="false">
      <c r="A12" s="9" t="s">
        <v>147</v>
      </c>
      <c r="B12" s="9" t="n">
        <f aca="false">SUM(B9:B11)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2026-10-22T01:17:58Z</dcterms:created>
  <dc:creator>openpyxl</dc:creator>
  <dc:description/>
  <dc:language>en-US</dc:language>
  <cp:lastModifiedBy/>
  <dcterms:modified xsi:type="dcterms:W3CDTF">2026-10-22T01:17:58Z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